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40576ae3754c8ac9/Υπολογιστής/Ο Φάκελός μου/Data analyst projects/FinTech Customer Acquisition and Profitability Analysis/excel/"/>
    </mc:Choice>
  </mc:AlternateContent>
  <xr:revisionPtr revIDLastSave="429" documentId="8_{DA684D4A-D9C9-4D3B-8B67-0B4778129DE7}" xr6:coauthVersionLast="47" xr6:coauthVersionMax="47" xr10:uidLastSave="{30A4A347-BCB6-4D42-9443-E0871C1CE755}"/>
  <bookViews>
    <workbookView xWindow="-108" yWindow="-108" windowWidth="23256" windowHeight="12456" xr2:uid="{00000000-000D-0000-FFFF-FFFF00000000}"/>
  </bookViews>
  <sheets>
    <sheet name="Summary" sheetId="1" r:id="rId1"/>
    <sheet name="Assumptions" sheetId="2" r:id="rId2"/>
    <sheet name="Unit_Economics" sheetId="3" r:id="rId3"/>
    <sheet name="Curves" sheetId="4" r:id="rId4"/>
    <sheet name="Optimizer" sheetId="5" r:id="rId5"/>
    <sheet name="Scenarios" sheetId="6" r:id="rId6"/>
    <sheet name="Pivot_Tables" sheetId="12" r:id="rId7"/>
    <sheet name="Notes" sheetId="7" r:id="rId8"/>
    <sheet name="Data_Scorecard" sheetId="8" r:id="rId9"/>
    <sheet name="Data_Monthly" sheetId="9" r:id="rId10"/>
    <sheet name="Data_Curve" sheetId="10" r:id="rId11"/>
  </sheets>
  <definedNames>
    <definedName name="solver_adj" localSheetId="4" hidden="1">Optimizer!$E$5:$E$8</definedName>
    <definedName name="solver_eng" localSheetId="4" hidden="1">1</definedName>
    <definedName name="solver_est" localSheetId="4">1</definedName>
    <definedName name="solver_lhs1" localSheetId="4" hidden="1">Optimizer!$E$5:$E$8</definedName>
    <definedName name="solver_lhs2" localSheetId="4" hidden="1">Optimizer!$E$5:$E$8</definedName>
    <definedName name="solver_lhs3" localSheetId="4" hidden="1">Optimizer!$E$9</definedName>
    <definedName name="solver_lin" localSheetId="4">2</definedName>
    <definedName name="solver_neg" localSheetId="4" hidden="1">1</definedName>
    <definedName name="solver_num" localSheetId="4" hidden="1">3</definedName>
    <definedName name="solver_nwt" localSheetId="4">1</definedName>
    <definedName name="solver_opt" localSheetId="4" hidden="1">Optimizer!$B$14</definedName>
    <definedName name="solver_rel1" localSheetId="4" hidden="1">3</definedName>
    <definedName name="solver_rel2" localSheetId="4" hidden="1">1</definedName>
    <definedName name="solver_rel3" localSheetId="4" hidden="1">1</definedName>
    <definedName name="solver_rhs1" localSheetId="4" hidden="1">Optimizer!$C$5:$C$8</definedName>
    <definedName name="solver_rhs2" localSheetId="4" hidden="1">Optimizer!$D$5:$D$8</definedName>
    <definedName name="solver_rhs3" localSheetId="4" hidden="1">Optimizer!$B$11</definedName>
    <definedName name="solver_typ" localSheetId="4" hidden="1">1</definedName>
    <definedName name="solver_val" localSheetId="4" hidden="1">0</definedName>
    <definedName name="solver_ver" localSheetId="4" hidden="1">3</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G97" i="9"/>
  <c r="F97" i="9"/>
  <c r="G96" i="9"/>
  <c r="F96" i="9"/>
  <c r="G95" i="9"/>
  <c r="F95" i="9"/>
  <c r="G94" i="9"/>
  <c r="F8" i="4" s="1"/>
  <c r="G8" i="4" s="1"/>
  <c r="F94" i="9"/>
  <c r="G93" i="9"/>
  <c r="F93" i="9"/>
  <c r="G92" i="9"/>
  <c r="F92" i="9"/>
  <c r="G91" i="9"/>
  <c r="F91" i="9"/>
  <c r="G90" i="9"/>
  <c r="F90" i="9"/>
  <c r="G89" i="9"/>
  <c r="F89" i="9"/>
  <c r="G88" i="9"/>
  <c r="F88" i="9"/>
  <c r="G87" i="9"/>
  <c r="F87" i="9"/>
  <c r="G86" i="9"/>
  <c r="F86" i="9"/>
  <c r="G85" i="9"/>
  <c r="F85" i="9"/>
  <c r="G84" i="9"/>
  <c r="F84" i="9"/>
  <c r="G83" i="9"/>
  <c r="F83" i="9"/>
  <c r="G82" i="9"/>
  <c r="F82" i="9"/>
  <c r="G81" i="9"/>
  <c r="F81" i="9"/>
  <c r="G80" i="9"/>
  <c r="F80" i="9"/>
  <c r="G79" i="9"/>
  <c r="F79" i="9"/>
  <c r="G78" i="9"/>
  <c r="F78" i="9"/>
  <c r="G77" i="9"/>
  <c r="F77" i="9"/>
  <c r="G76" i="9"/>
  <c r="F76" i="9"/>
  <c r="G75" i="9"/>
  <c r="F75" i="9"/>
  <c r="G74" i="9"/>
  <c r="F74" i="9"/>
  <c r="G73" i="9"/>
  <c r="F73" i="9"/>
  <c r="G72" i="9"/>
  <c r="F72" i="9"/>
  <c r="G71" i="9"/>
  <c r="F71" i="9"/>
  <c r="G70" i="9"/>
  <c r="F70" i="9"/>
  <c r="G69" i="9"/>
  <c r="F69" i="9"/>
  <c r="G68" i="9"/>
  <c r="F68" i="9"/>
  <c r="G67" i="9"/>
  <c r="F67" i="9"/>
  <c r="G66" i="9"/>
  <c r="F66" i="9"/>
  <c r="G65" i="9"/>
  <c r="F65" i="9"/>
  <c r="G64" i="9"/>
  <c r="F64" i="9"/>
  <c r="G63" i="9"/>
  <c r="F63" i="9"/>
  <c r="G62" i="9"/>
  <c r="F62" i="9"/>
  <c r="G61" i="9"/>
  <c r="F61" i="9"/>
  <c r="G60" i="9"/>
  <c r="F60" i="9"/>
  <c r="G59" i="9"/>
  <c r="F59" i="9"/>
  <c r="G58" i="9"/>
  <c r="F58" i="9"/>
  <c r="G57" i="9"/>
  <c r="F57" i="9"/>
  <c r="G56" i="9"/>
  <c r="F56" i="9"/>
  <c r="G55" i="9"/>
  <c r="F55" i="9"/>
  <c r="G54" i="9"/>
  <c r="F54" i="9"/>
  <c r="G53" i="9"/>
  <c r="F53" i="9"/>
  <c r="G52" i="9"/>
  <c r="F52" i="9"/>
  <c r="G51" i="9"/>
  <c r="F51" i="9"/>
  <c r="G50" i="9"/>
  <c r="F50" i="9"/>
  <c r="G49" i="9"/>
  <c r="F49" i="9"/>
  <c r="G48" i="9"/>
  <c r="F48" i="9"/>
  <c r="G47" i="9"/>
  <c r="F47" i="9"/>
  <c r="G46" i="9"/>
  <c r="F46" i="9"/>
  <c r="G45" i="9"/>
  <c r="F45" i="9"/>
  <c r="G44" i="9"/>
  <c r="F44" i="9"/>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7" i="9"/>
  <c r="F7" i="9"/>
  <c r="G6" i="9"/>
  <c r="F5" i="4" s="1"/>
  <c r="G5" i="4" s="1"/>
  <c r="F6" i="9"/>
  <c r="G5" i="9"/>
  <c r="F5" i="9"/>
  <c r="G4" i="9"/>
  <c r="F4" i="9"/>
  <c r="G3" i="9"/>
  <c r="F3" i="9"/>
  <c r="G2" i="9"/>
  <c r="F2" i="9"/>
  <c r="L12" i="6"/>
  <c r="H12" i="6"/>
  <c r="L11" i="6"/>
  <c r="H11" i="6"/>
  <c r="L10" i="6"/>
  <c r="H10" i="6"/>
  <c r="L9" i="6"/>
  <c r="H9" i="6"/>
  <c r="L8" i="6"/>
  <c r="H8" i="6"/>
  <c r="L7" i="6"/>
  <c r="H7" i="6"/>
  <c r="L6" i="6"/>
  <c r="H6" i="6"/>
  <c r="L5" i="6"/>
  <c r="H5" i="6"/>
  <c r="E9" i="5"/>
  <c r="B8" i="5"/>
  <c r="B7" i="5"/>
  <c r="B6" i="5"/>
  <c r="B5" i="5"/>
  <c r="J8" i="4"/>
  <c r="H8" i="4"/>
  <c r="B8" i="4"/>
  <c r="J7" i="4"/>
  <c r="H7" i="4"/>
  <c r="F7" i="4"/>
  <c r="G7" i="4" s="1"/>
  <c r="D7" i="4"/>
  <c r="E7" i="4" s="1"/>
  <c r="C7" i="4"/>
  <c r="B7" i="4"/>
  <c r="J6" i="4"/>
  <c r="H6" i="4"/>
  <c r="F6" i="4"/>
  <c r="G6" i="4" s="1"/>
  <c r="D6" i="4"/>
  <c r="E6" i="4" s="1"/>
  <c r="C6" i="4"/>
  <c r="B6" i="4"/>
  <c r="J5" i="4"/>
  <c r="H5" i="4"/>
  <c r="D5" i="4"/>
  <c r="E5" i="4" s="1"/>
  <c r="C5" i="4"/>
  <c r="B5" i="4"/>
  <c r="A17" i="3"/>
  <c r="A16" i="3"/>
  <c r="P9" i="3"/>
  <c r="O9" i="3"/>
  <c r="K9" i="3"/>
  <c r="J9" i="3"/>
  <c r="I9" i="3"/>
  <c r="E9" i="3"/>
  <c r="F9" i="3" s="1"/>
  <c r="D9" i="3"/>
  <c r="C9" i="3"/>
  <c r="B9" i="3"/>
  <c r="A9" i="3"/>
  <c r="A18" i="3" s="1"/>
  <c r="P8" i="3"/>
  <c r="O8" i="3"/>
  <c r="K8" i="3"/>
  <c r="J8" i="3"/>
  <c r="Q8" i="3" s="1"/>
  <c r="I8" i="3"/>
  <c r="E8" i="3"/>
  <c r="F8" i="3" s="1"/>
  <c r="D8" i="3"/>
  <c r="C8" i="3"/>
  <c r="B8" i="3"/>
  <c r="A8" i="3"/>
  <c r="P7" i="3"/>
  <c r="O7" i="3"/>
  <c r="K7" i="3"/>
  <c r="J7" i="3"/>
  <c r="Q7" i="3" s="1"/>
  <c r="I7" i="3"/>
  <c r="E7" i="3"/>
  <c r="F7" i="3" s="1"/>
  <c r="D7" i="3"/>
  <c r="C7" i="3"/>
  <c r="B7" i="3"/>
  <c r="A7" i="3"/>
  <c r="P6" i="3"/>
  <c r="O6" i="3"/>
  <c r="K6" i="3"/>
  <c r="J6" i="3"/>
  <c r="I6" i="3"/>
  <c r="E6" i="3"/>
  <c r="F6" i="3" s="1"/>
  <c r="D6" i="3"/>
  <c r="C6" i="3"/>
  <c r="B6" i="3"/>
  <c r="N6" i="3" s="1"/>
  <c r="A6" i="3"/>
  <c r="P5" i="3"/>
  <c r="O5" i="3"/>
  <c r="K5" i="3"/>
  <c r="J5" i="3"/>
  <c r="Q5" i="3" s="1"/>
  <c r="I5" i="3"/>
  <c r="E5" i="3"/>
  <c r="F5" i="3" s="1"/>
  <c r="D5" i="3"/>
  <c r="C5" i="3"/>
  <c r="B5" i="3"/>
  <c r="A5" i="3"/>
  <c r="C12" i="1"/>
  <c r="E12" i="1" s="1"/>
  <c r="A12" i="1"/>
  <c r="C11" i="1"/>
  <c r="E11" i="1" s="1"/>
  <c r="A11" i="1"/>
  <c r="C10" i="1"/>
  <c r="E10" i="1" s="1"/>
  <c r="A10" i="1"/>
  <c r="C9" i="1"/>
  <c r="E9" i="1" s="1"/>
  <c r="A9" i="1"/>
  <c r="Q9" i="3" l="1"/>
  <c r="F12" i="1" s="1"/>
  <c r="C8" i="4"/>
  <c r="D8" i="4"/>
  <c r="E8" i="4" s="1"/>
  <c r="Q6" i="3"/>
  <c r="S9" i="3"/>
  <c r="T9" i="3" s="1"/>
  <c r="I8" i="5" s="1"/>
  <c r="S8" i="3"/>
  <c r="T8" i="3" s="1"/>
  <c r="I7" i="5" s="1"/>
  <c r="F11" i="1"/>
  <c r="F10" i="1"/>
  <c r="F9" i="1"/>
  <c r="S7" i="3"/>
  <c r="T7" i="3" s="1"/>
  <c r="I6" i="5" s="1"/>
  <c r="S6" i="3"/>
  <c r="S5" i="3"/>
  <c r="T5" i="3" s="1"/>
  <c r="I5" i="5" s="1"/>
  <c r="B12" i="5"/>
  <c r="C13" i="1"/>
  <c r="C8" i="5"/>
  <c r="D8" i="5"/>
  <c r="F8" i="5"/>
  <c r="D12" i="1" s="1"/>
  <c r="B12" i="1"/>
  <c r="C7" i="5"/>
  <c r="D7" i="5"/>
  <c r="F7" i="5"/>
  <c r="D11" i="1" s="1"/>
  <c r="B11" i="1"/>
  <c r="F6" i="5"/>
  <c r="D10" i="1" s="1"/>
  <c r="D6" i="5"/>
  <c r="C6" i="5"/>
  <c r="B10" i="1"/>
  <c r="C5" i="5"/>
  <c r="B9" i="5"/>
  <c r="F9" i="5" s="1"/>
  <c r="D13" i="1" s="1"/>
  <c r="D5" i="5"/>
  <c r="F5" i="5"/>
  <c r="D9" i="1" s="1"/>
  <c r="B9" i="1"/>
  <c r="G7" i="5"/>
  <c r="H7" i="5"/>
  <c r="I7" i="4"/>
  <c r="I6" i="4"/>
  <c r="G6" i="5"/>
  <c r="H6" i="5"/>
  <c r="H5" i="5"/>
  <c r="G5" i="5"/>
  <c r="I5" i="4"/>
  <c r="B18" i="3"/>
  <c r="K18" i="3"/>
  <c r="D18" i="3"/>
  <c r="F18" i="3"/>
  <c r="L18" i="3"/>
  <c r="C18" i="3"/>
  <c r="E18" i="3"/>
  <c r="M18" i="3"/>
  <c r="J18" i="3"/>
  <c r="H18" i="3"/>
  <c r="G18" i="3"/>
  <c r="I18" i="3"/>
  <c r="F17" i="3"/>
  <c r="E17" i="3"/>
  <c r="D17" i="3"/>
  <c r="B17" i="3"/>
  <c r="K17" i="3"/>
  <c r="H17" i="3"/>
  <c r="I17" i="3"/>
  <c r="J17" i="3"/>
  <c r="L17" i="3"/>
  <c r="M17" i="3"/>
  <c r="C17" i="3"/>
  <c r="G17" i="3"/>
  <c r="C16" i="3"/>
  <c r="B16" i="3"/>
  <c r="I16" i="3"/>
  <c r="L16" i="3"/>
  <c r="H16" i="3"/>
  <c r="J16" i="3"/>
  <c r="M16" i="3"/>
  <c r="G16" i="3"/>
  <c r="F16" i="3"/>
  <c r="E16" i="3"/>
  <c r="D16" i="3"/>
  <c r="K16" i="3"/>
  <c r="G9" i="3"/>
  <c r="H9" i="3"/>
  <c r="M9" i="3" s="1"/>
  <c r="G8" i="3"/>
  <c r="H8" i="3"/>
  <c r="M8" i="3" s="1"/>
  <c r="H7" i="3"/>
  <c r="M7" i="3" s="1"/>
  <c r="G7" i="3"/>
  <c r="G10" i="1" s="1"/>
  <c r="R6" i="3"/>
  <c r="M6" i="3"/>
  <c r="L6" i="3"/>
  <c r="H6" i="3"/>
  <c r="G6" i="3"/>
  <c r="A15" i="3"/>
  <c r="H5" i="3"/>
  <c r="M5" i="3" s="1"/>
  <c r="G5" i="3"/>
  <c r="G9" i="1" s="1"/>
  <c r="A14" i="3"/>
  <c r="E13" i="1"/>
  <c r="T6" i="3" l="1"/>
  <c r="G8" i="5"/>
  <c r="H8" i="5"/>
  <c r="I8" i="4"/>
  <c r="G12" i="1"/>
  <c r="L9" i="3"/>
  <c r="B17" i="5"/>
  <c r="N9" i="3"/>
  <c r="N7" i="3"/>
  <c r="N8" i="3"/>
  <c r="R8" i="3"/>
  <c r="G11" i="1"/>
  <c r="J7" i="5"/>
  <c r="K7" i="5"/>
  <c r="J6" i="5"/>
  <c r="K6" i="5"/>
  <c r="B11" i="5"/>
  <c r="B16" i="5" s="1"/>
  <c r="B13" i="1"/>
  <c r="K5" i="5"/>
  <c r="J5" i="5"/>
  <c r="B15" i="3"/>
  <c r="C15" i="3"/>
  <c r="D15" i="3"/>
  <c r="E15" i="3"/>
  <c r="F15" i="3"/>
  <c r="G15" i="3"/>
  <c r="H15" i="3"/>
  <c r="I15" i="3"/>
  <c r="J15" i="3"/>
  <c r="K15" i="3"/>
  <c r="L15" i="3"/>
  <c r="M15" i="3"/>
  <c r="B14" i="3"/>
  <c r="C14" i="3"/>
  <c r="D14" i="3"/>
  <c r="E14" i="3"/>
  <c r="F14" i="3"/>
  <c r="G14" i="3"/>
  <c r="H14" i="3"/>
  <c r="I14" i="3"/>
  <c r="J14" i="3"/>
  <c r="K14" i="3"/>
  <c r="L14" i="3"/>
  <c r="M14" i="3"/>
  <c r="R9" i="3"/>
  <c r="L8" i="3"/>
  <c r="L7" i="3"/>
  <c r="R7" i="3"/>
  <c r="L5" i="3"/>
  <c r="R5" i="3"/>
  <c r="J8" i="5" l="1"/>
  <c r="G9" i="5"/>
  <c r="K8" i="5"/>
  <c r="K9" i="5" s="1"/>
  <c r="B14" i="5" s="1"/>
  <c r="H9" i="5"/>
  <c r="N5" i="3"/>
  <c r="J9" i="5"/>
  <c r="B13" i="5" s="1"/>
  <c r="B16" i="1" s="1"/>
  <c r="B15" i="5" l="1"/>
  <c r="B18" i="1" s="1"/>
  <c r="B17" i="1"/>
</calcChain>
</file>

<file path=xl/sharedStrings.xml><?xml version="1.0" encoding="utf-8"?>
<sst xmlns="http://schemas.openxmlformats.org/spreadsheetml/2006/main" count="459" uniqueCount="229">
  <si>
    <t>Budget model: which channels deserve next quarter's marketing budget?</t>
  </si>
  <si>
    <t>FinTech Customer Acquisition and Profitability Analysis. Synthetic data, extract date 2026-09-30. All numbers in EUR.</t>
  </si>
  <si>
    <t>Headline question</t>
  </si>
  <si>
    <t>Which acquisition channels bring profitable customers, and how should next quarter's budget be reallocated?</t>
  </si>
  <si>
    <t>Recommended allocation (Solver result, base case)</t>
  </si>
  <si>
    <t>Channel</t>
  </si>
  <si>
    <t>Baseline spend (EUR)</t>
  </si>
  <si>
    <t>Recommended spend (EUR)</t>
  </si>
  <si>
    <t>Change</t>
  </si>
  <si>
    <t>Recommended, rounded to 100 (EUR)</t>
  </si>
  <si>
    <t>Risk-adjusted LTV per customer (EUR)</t>
  </si>
  <si>
    <t>CAC (EUR)</t>
  </si>
  <si>
    <t>Total</t>
  </si>
  <si>
    <t>Result</t>
  </si>
  <si>
    <t>Net profit at baseline spend (EUR per quarter)</t>
  </si>
  <si>
    <t>Net profit at recommended spend (EUR per quarter)</t>
  </si>
  <si>
    <t>Improvement (EUR per quarter)</t>
  </si>
  <si>
    <t>What the model says (at the delivered inputs)</t>
  </si>
  <si>
    <t>1. After credit losses, only referral earns money per customer. Affiliate looks best before losses but loses the most per customer, because its borrowers default far more often.</t>
  </si>
  <si>
    <t>2. The best allocation puts affiliate, paid search and paid social at their lower limit (50 percent of baseline) and referral at its upper limit (120 percent). The model never wants more spend in a channel whose customers lose money.</t>
  </si>
  <si>
    <t>3. Moving the money this way improves the quarter, but the net result is still negative. The remaining loss comes from loan losses, so the biggest lever is credit policy, not channel mix.</t>
  </si>
  <si>
    <t>4. Paid social was inflated by one campaign (SO_Summer_Reach_2026, about 24 percent of its spend, 365 EUR per customer against a channel median of 62). Cutting it costs few customers.</t>
  </si>
  <si>
    <t>5. The three channels stay at their lower limit in every scenario (budget plus or minus 20 percent, credit losses plus or minus 25 percent, interest after month 12 counted). See the sheet Scenarios.</t>
  </si>
  <si>
    <t>Limits: synthetic data and assumed default behaviour; the curves are rough (see R squared on sheet Curves); the sentences above describe the delivered inputs and do not update by themselves. More in sheet Notes.</t>
  </si>
  <si>
    <t>How to read the colours</t>
  </si>
  <si>
    <t>Blue on yellow: an input you can change</t>
  </si>
  <si>
    <t>Green: a link to another sheet</t>
  </si>
  <si>
    <t>Black: a formula</t>
  </si>
  <si>
    <t>Green fill: a key result</t>
  </si>
  <si>
    <t>Assumptions</t>
  </si>
  <si>
    <t>Blue cells on yellow are inputs. Everything else in the workbook is calculated from them and from the SQL data sheets.</t>
  </si>
  <si>
    <t>Input</t>
  </si>
  <si>
    <t>Value</t>
  </si>
  <si>
    <t>Unit</t>
  </si>
  <si>
    <t>Where it comes from / what it does</t>
  </si>
  <si>
    <t>KYC cost per identity check</t>
  </si>
  <si>
    <t>EUR</t>
  </si>
  <si>
    <t>assumptions table (kyc_cost_per_check). Part of CAC.</t>
  </si>
  <si>
    <t>Months in the planning quarter</t>
  </si>
  <si>
    <t>months</t>
  </si>
  <si>
    <t>Converts the monthly response curve into a quarterly number.</t>
  </si>
  <si>
    <t>Budget multiplier (scenario lever)</t>
  </si>
  <si>
    <t>x</t>
  </si>
  <si>
    <t>1.0 = the baseline budget (July to September 2026 spend). 0.8 = minus 20 percent.</t>
  </si>
  <si>
    <t>Credit loss multiplier (scenario lever)</t>
  </si>
  <si>
    <t>1.0 = observed credit losses. 1.25 = default losses 25 percent higher.</t>
  </si>
  <si>
    <t>Lower limit per channel</t>
  </si>
  <si>
    <t>% of baseline</t>
  </si>
  <si>
    <t>Project decision: each channel keeps at least 50 percent of its baseline spend.</t>
  </si>
  <si>
    <t>Upper limit per channel</t>
  </si>
  <si>
    <t>Project decision: each channel gets at most 150 percent of its baseline spend.</t>
  </si>
  <si>
    <t>Upper limit for referral</t>
  </si>
  <si>
    <t>Project decision: referral volume is limited by the existing customer base.</t>
  </si>
  <si>
    <t>Leave the SO_Summer_Reach months (June to September 2026) out of the paid social curve</t>
  </si>
  <si>
    <t>1 = yes, 0 = no</t>
  </si>
  <si>
    <t>The wasteful campaign ran in those months and distorts the curve. 1 fits paid social on the first 20 months.</t>
  </si>
  <si>
    <t>Weak fit threshold (R squared)</t>
  </si>
  <si>
    <t>R squared</t>
  </si>
  <si>
    <t>Curves below this are flagged as weak fits.</t>
  </si>
  <si>
    <t>Interest earned after month 12 (not in the 12-month LTV)</t>
  </si>
  <si>
    <t>Value per customer (EUR)</t>
  </si>
  <si>
    <t>Note</t>
  </si>
  <si>
    <t>affiliate</t>
  </si>
  <si>
    <t>EUR per customer</t>
  </si>
  <si>
    <t>Default 0, as defined in the project. Measured on the 12-month cohort: 69.10 EUR per customer. Enter it to count interest after month 12.</t>
  </si>
  <si>
    <t>organic</t>
  </si>
  <si>
    <t>Default 0, as defined in the project. Measured on the 12-month cohort: 43.51 EUR per customer. Enter it to count interest after month 12.</t>
  </si>
  <si>
    <t>paid_search</t>
  </si>
  <si>
    <t>Default 0, as defined in the project. Measured on the 12-month cohort: 53.16 EUR per customer. Enter it to count interest after month 12.</t>
  </si>
  <si>
    <t>paid_social</t>
  </si>
  <si>
    <t>Default 0, as defined in the project. Measured on the 12-month cohort: 48.08 EUR per customer. Enter it to count interest after month 12.</t>
  </si>
  <si>
    <t>referral</t>
  </si>
  <si>
    <t>Default 0, as defined in the project. Measured on the 12-month cohort: 43.60 EUR per customer. Enter it to count interest after month 12.</t>
  </si>
  <si>
    <t>Fixed project definitions (not inputs): CAC = (ad spend + KYC cost) / funded customers; LTV is the observed 12-month margin; risk-adjusted LTV = LTV minus credit loss per customer; the response curve is customers = a x spend^b.</t>
  </si>
  <si>
    <t>Unit economics by channel</t>
  </si>
  <si>
    <t>CAC, LTV, payback and ROAS recomputed from the SQL data and the assumptions. Organic has no ad spend, so it has no CAC.</t>
  </si>
  <si>
    <t>Has ad spend (1/0)</t>
  </si>
  <si>
    <t>Ad spend (EUR)</t>
  </si>
  <si>
    <t>Funded customers</t>
  </si>
  <si>
    <t>KYC decisions</t>
  </si>
  <si>
    <t>KYC cost (EUR)</t>
  </si>
  <si>
    <t>Ad-only CAC (EUR)</t>
  </si>
  <si>
    <t>Customers in 12-month cohort</t>
  </si>
  <si>
    <t>LTV 12 months, before credit loss (EUR)</t>
  </si>
  <si>
    <t>Revenue 12 months (EUR)</t>
  </si>
  <si>
    <t>LTV / CAC</t>
  </si>
  <si>
    <t>ROAS</t>
  </si>
  <si>
    <t>Payback month</t>
  </si>
  <si>
    <t>Credit loss per customer (EUR)</t>
  </si>
  <si>
    <t>Interest after month 12 (EUR)</t>
  </si>
  <si>
    <t>Risk-adjusted LTV (EUR)</t>
  </si>
  <si>
    <t>Risk-adjusted LTV / CAC</t>
  </si>
  <si>
    <t>KYC cost per funded customer (EUR)</t>
  </si>
  <si>
    <t>Net value per customer (EUR)</t>
  </si>
  <si>
    <t>Reading: LTV is what a customer earns in 12 months. Risk-adjusted LTV subtracts the credit loss on that customer's loans. Net value per customer also subtracts the KYC cost; it is the value the optimizer uses.</t>
  </si>
  <si>
    <t>Cumulative margin per customer by month (data for the payback chart). A channel pays back in the first month its line reaches its CAC.</t>
  </si>
  <si>
    <t>Response curves: customers = a x spend^b</t>
  </si>
  <si>
    <t>Fitted on the log of monthly spend and monthly credited customers, 24 monthly points per channel (20 for paid social when the Summer Reach months are left out).</t>
  </si>
  <si>
    <t>Points used</t>
  </si>
  <si>
    <t>b (slope)</t>
  </si>
  <si>
    <t>ln(a) (intercept)</t>
  </si>
  <si>
    <t>a</t>
  </si>
  <si>
    <t>Fit quality</t>
  </si>
  <si>
    <t>Baseline monthly spend (EUR)</t>
  </si>
  <si>
    <t>Curve: customers per month at baseline spend</t>
  </si>
  <si>
    <t>Actual average customers per month, Jul to Sep 2026</t>
  </si>
  <si>
    <t>How to read it: b below 1 means diminishing returns (doubling the spend gives less than double the customers). A low R squared means monthly spend explains little of the monthly customers, so treat that curve as rough. Compare the last two columns: if the curve gives far more customers than were actually won, the baseline spend was inefficient (this is the case for paid social).</t>
  </si>
  <si>
    <t>Budget optimizer</t>
  </si>
  <si>
    <t>Maximise net profit (customers x net value per customer - ad spend) by choosing the spend per channel. Run Solver (Data &gt; Solver): the settings are already filled in.</t>
  </si>
  <si>
    <t>Baseline spend, Jul to Sep 2026 (EUR)</t>
  </si>
  <si>
    <t>Lower limit (EUR)</t>
  </si>
  <si>
    <t>Upper limit (EUR)</t>
  </si>
  <si>
    <t>Recommended spend (EUR)  &lt;- Solver changes these</t>
  </si>
  <si>
    <t>Change vs baseline</t>
  </si>
  <si>
    <t>Customers at baseline spend</t>
  </si>
  <si>
    <t>Customers at recommended spend</t>
  </si>
  <si>
    <t>Value of customers, baseline (EUR)</t>
  </si>
  <si>
    <t>Value of customers, recommended (EUR)</t>
  </si>
  <si>
    <t>Budget ceiling (EUR)</t>
  </si>
  <si>
    <t>Total recommended spend (EUR)</t>
  </si>
  <si>
    <t>Net profit at baseline spend (EUR)</t>
  </si>
  <si>
    <t>Net profit at recommended spend (EUR)  &lt;- Solver maximises this</t>
  </si>
  <si>
    <t>Uplift: recommended minus baseline (EUR)</t>
  </si>
  <si>
    <t>Spend within the budget ceiling?</t>
  </si>
  <si>
    <t>All channels inside their limits?</t>
  </si>
  <si>
    <t>Solver settings (already stored in this sheet): objective $B$14, maximise; changing cells $E$5:$E$8; constraints: $E$5:$E$8 &gt;= $C$5:$C$8, $E$5:$E$8 &lt;= $D$5:$D$8, $E$9 &lt;= $B$11; method GRG Nonlinear; make unconstrained variables non-negative. If you change an assumption, run Solver again. The delivered values are the Solver result for the base case.</t>
  </si>
  <si>
    <t>Scenarios</t>
  </si>
  <si>
    <t>Each row is the optimum for one scenario (pasted values). To reproduce one, change the matching lever in Assumptions and run Solver on the Optimizer sheet.</t>
  </si>
  <si>
    <t>Scenario</t>
  </si>
  <si>
    <t>Lever</t>
  </si>
  <si>
    <t>affiliate spend (EUR)</t>
  </si>
  <si>
    <t>paid_search spend (EUR)</t>
  </si>
  <si>
    <t>paid_social spend (EUR)</t>
  </si>
  <si>
    <t>referral spend (EUR)</t>
  </si>
  <si>
    <t>Total spend (EUR)</t>
  </si>
  <si>
    <t>Customers won</t>
  </si>
  <si>
    <t>Net profit at recommended spend (EUR)</t>
  </si>
  <si>
    <t>Uplift (EUR)</t>
  </si>
  <si>
    <t>Base case</t>
  </si>
  <si>
    <t>-</t>
  </si>
  <si>
    <t>Budget -20%</t>
  </si>
  <si>
    <t>Budget multiplier 0.8</t>
  </si>
  <si>
    <t>Budget +20%</t>
  </si>
  <si>
    <t>Budget multiplier 1.2</t>
  </si>
  <si>
    <t>Credit losses +25%</t>
  </si>
  <si>
    <t>Credit loss multiplier 1.25</t>
  </si>
  <si>
    <t>Credit losses -25%</t>
  </si>
  <si>
    <t>Credit loss multiplier 0.75</t>
  </si>
  <si>
    <t>Paid social curve fitted on all 24 months</t>
  </si>
  <si>
    <t>Summer Reach switch = 0</t>
  </si>
  <si>
    <t>Interest after month 12 counted</t>
  </si>
  <si>
    <t>Interest after month 12 = measured values</t>
  </si>
  <si>
    <t>Budget fully spent (equality rule)</t>
  </si>
  <si>
    <t>Constraint E9 = B11 instead of &lt;=</t>
  </si>
  <si>
    <t>Baseline spend for reference (EUR): affiliate 3,116, paid_search 5,375, paid_social 19,030, referral 1,081. Total 28,603.</t>
  </si>
  <si>
    <t>Notes: method, data and limits</t>
  </si>
  <si>
    <t>Topic</t>
  </si>
  <si>
    <t>Data</t>
  </si>
  <si>
    <t>The Data_ sheets are pasted from the SQL views rpt.v_channel_scorecard, rpt.v_budget_inputs and rpt.v_channel_curve (extract date 2026-09-30). They are values; to refresh them, run the views again and paste.</t>
  </si>
  <si>
    <t>CAC</t>
  </si>
  <si>
    <t>(Ad spend + 2.50 EUR per identity check) / funded customers, over the whole period. Organic has no ad spend, so no CAC, ROAS or payback.</t>
  </si>
  <si>
    <t>LTV</t>
  </si>
  <si>
    <t>Observed margin per customer over the first 12 months after the first deposit: interchange + loan interest + origination fee - cost of funds - servicing. Only customers with all 12 months in the data are used.</t>
  </si>
  <si>
    <t>Risk-adjusted LTV</t>
  </si>
  <si>
    <t>LTV minus the credit loss on that customer's seasoned loans (90 percent of the principal still owed when the loan first went 90 days late). The loss covers the whole life of the loan while the LTV covers 12 months, so the comparison is conservative: interest after month 12 is not counted (about 44 to 69 EUR per customer; enter it on the Assumptions sheet to test).</t>
  </si>
  <si>
    <t>Response curve</t>
  </si>
  <si>
    <t>customers per month = a x monthly spend^b, fitted on logs with LINEST on 24 monthly points per channel. Customers are credited with the position-based attribution model, in the month of the first deposit. The fits are rough (R squared 0.14 to 0.70).</t>
  </si>
  <si>
    <t>Objective</t>
  </si>
  <si>
    <t>Not modelled</t>
  </si>
  <si>
    <t>Deposit margin (no balance data), retention beyond 12 months, expected loss on loans too young to judge (17 of the 1,349 loans in the cohort), and interactions between channels.</t>
  </si>
  <si>
    <t>Running Solver</t>
  </si>
  <si>
    <t>Data &gt; Solver. The objective, changing cells and constraints are already stored. Method GRG Nonlinear. The problem is not smooth everywhere, so start from sensible values. The delivered values were found with a grid search and polished with a numerical optimizer.</t>
  </si>
  <si>
    <t>Credit loss caveat</t>
  </si>
  <si>
    <t>Per-customer losses come from the customers funded up to October 2025, whose loans have had time to default. Applying them to new customers assumes the same behaviour.</t>
  </si>
  <si>
    <t>acquisition_channel</t>
  </si>
  <si>
    <t>ad_spend</t>
  </si>
  <si>
    <t>funded_customers</t>
  </si>
  <si>
    <t>kyc_decisions</t>
  </si>
  <si>
    <t>kyc_cost</t>
  </si>
  <si>
    <t>cac</t>
  </si>
  <si>
    <t>ad_only_cac</t>
  </si>
  <si>
    <t>eligible_customers_12m</t>
  </si>
  <si>
    <t>ltv_12m</t>
  </si>
  <si>
    <t>revenue_12m</t>
  </si>
  <si>
    <t>ltv_cac</t>
  </si>
  <si>
    <t>roas</t>
  </si>
  <si>
    <t>payback_month</t>
  </si>
  <si>
    <t>paid_back_in_12m</t>
  </si>
  <si>
    <t>credit_loss_per_customer</t>
  </si>
  <si>
    <t>risk_adj_ltv_12m</t>
  </si>
  <si>
    <t>risk_adj_ltv_cac</t>
  </si>
  <si>
    <t>Source: SQL view rpt.v_channel_scorecard, extract date 2026-09-30. Values pasted from SQL; do not edit.</t>
  </si>
  <si>
    <t>channel_name</t>
  </si>
  <si>
    <t>month_start</t>
  </si>
  <si>
    <t>credited_customers</t>
  </si>
  <si>
    <t>in_baseline_quarter</t>
  </si>
  <si>
    <t>ln_spend</t>
  </si>
  <si>
    <t>ln_customers</t>
  </si>
  <si>
    <t>month_no</t>
  </si>
  <si>
    <t>eligible_customers</t>
  </si>
  <si>
    <t>avg_cum_margin</t>
  </si>
  <si>
    <t>avg_cum_revenue</t>
  </si>
  <si>
    <t>Reading: in every scenario with a budget ceiling, affiliate, paid search and paid social go to their lower limit. Referral goes to its upper limit, except when credit losses rise 25 percent, where it falls slightly below its baseline. Only referral earns money per customer after credit losses, and the other channels lose money on each extra customer, so the model never wants to spend more there. The last row forces the whole budget to be spent (the fixed-budget rule of the original plan); that pushes the money into paid social, the channel that wins the fewest customers per euro, which only looks better because it loses less per euro.</t>
  </si>
  <si>
    <t>Net profit = customers x (risk-adjusted LTV - KYC cost per customer) - ad spend. Constraints: total spend at most the baseline budget (July to September 2026 spend), each channel between 50 and 150 percent of its baseline, referral at most 120 percent. The original plan described the budget as fixed; it is a ceiling here, because a fixed budget forces money into channels that lose money on every customer (last row of Scenarios).</t>
  </si>
  <si>
    <t>Source: SQL view rpt.v_channel_curve, pasted as values. Do not edit.</t>
  </si>
  <si>
    <t>Pivot tables</t>
  </si>
  <si>
    <t>The sheet Pivot_Tables summarises Data_Monthly by channel and quarter with three PivotTables (ad spend, customers won and a calculated field for cost per customer). They show where the cost per customer jumps: paid social from the second quarter of 2026.</t>
  </si>
  <si>
    <t>Lookups</t>
  </si>
  <si>
    <t>Sheets look up values by channel name with VLOOKUP (exact match). SUMIFS adds up the data sheets by channel and month, and COUNTIF finds the payback month.</t>
  </si>
  <si>
    <t>Sheets: Assumptions (inputs) &gt; Unit_Economics (CAC, LTV, payback) &gt; Curves (spend to customers) &gt; Optimizer (Solver) &gt; Scenarios &gt; Pivot_Tables. Data_ sheets hold the SQL view results.</t>
  </si>
  <si>
    <t>quarter</t>
  </si>
  <si>
    <t>Source: SQL view rpt.v_budget_inputs. Columns A to E are pasted from SQL; F and G are formulas (natural logs, used to fit the curves) and H is a formula (the quarter, used by the pivot tables).</t>
  </si>
  <si>
    <t>Built from Data_Monthly (24 months x 4 paid channels), using its quarter column. After the data changes, right-click a pivot and choose Refresh.</t>
  </si>
  <si>
    <t>Row Labels</t>
  </si>
  <si>
    <t>Grand Total</t>
  </si>
  <si>
    <t>Column Labels</t>
  </si>
  <si>
    <t>2024-Q4</t>
  </si>
  <si>
    <t>2025-Q1</t>
  </si>
  <si>
    <t>2025-Q2</t>
  </si>
  <si>
    <t>2025-Q3</t>
  </si>
  <si>
    <t>2025-Q4</t>
  </si>
  <si>
    <t>2026-Q1</t>
  </si>
  <si>
    <t>2026-Q2</t>
  </si>
  <si>
    <t>2026-Q3</t>
  </si>
  <si>
    <t>Ad spend</t>
  </si>
  <si>
    <t>Customers</t>
  </si>
  <si>
    <t>Cost per customer (EUR) = ad spend / customers</t>
  </si>
  <si>
    <t>Cost per customer</t>
  </si>
  <si>
    <t>Pivot tables: spend, customers and cost per customer by quarter and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</si>
</sst>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 yyyy"/>
    <numFmt numFmtId="165" formatCode="#,##0.00;\(#,##0.00\);\-"/>
    <numFmt numFmtId="166" formatCode="0.0000"/>
    <numFmt numFmtId="167" formatCode="0.0%"/>
    <numFmt numFmtId="168" formatCode="#,##0;\(#,##0\);\-"/>
    <numFmt numFmtId="169" formatCode="0.0&quot;x&quot;"/>
    <numFmt numFmtId="170" formatCode="0.000"/>
    <numFmt numFmtId="171" formatCode="#,##0.0"/>
  </numFmts>
  <fonts count="14" x14ac:knownFonts="1">
    <font>
      <sz val="11"/>
      <color theme="1"/>
      <name val="Calibri"/>
      <family val="2"/>
      <scheme val="minor"/>
    </font>
    <font>
      <b/>
      <sz val="10"/>
      <color rgb="FFFFFFFF"/>
      <name val="Arial"/>
    </font>
    <font>
      <sz val="10"/>
      <name val="Arial"/>
    </font>
    <font>
      <i/>
      <sz val="10"/>
      <color rgb="FF595959"/>
      <name val="Arial"/>
    </font>
    <font>
      <sz val="10"/>
      <color rgb="FF008000"/>
      <name val="Arial"/>
    </font>
    <font>
      <b/>
      <sz val="14"/>
      <color rgb="FF1F3864"/>
      <name val="Arial"/>
    </font>
    <font>
      <sz val="10"/>
      <color rgb="FF0000FF"/>
      <name val="Arial"/>
    </font>
    <font>
      <b/>
      <sz val="10"/>
      <name val="Arial"/>
    </font>
    <font>
      <b/>
      <sz val="10"/>
      <color theme="1"/>
      <name val="Arial"/>
      <family val="2"/>
    </font>
    <font>
      <sz val="10"/>
      <color theme="1"/>
      <name val="Arial"/>
      <family val="2"/>
    </font>
    <font>
      <i/>
      <sz val="10"/>
      <color rgb="FF595959"/>
      <name val="Arial"/>
      <family val="2"/>
    </font>
    <font>
      <b/>
      <sz val="14"/>
      <color rgb="FF1F3864"/>
      <name val="Arial"/>
      <family val="2"/>
    </font>
    <font>
      <b/>
      <sz val="10"/>
      <color rgb="FF1F3864"/>
      <name val="Arial"/>
      <family val="2"/>
    </font>
    <font>
      <b/>
      <sz val="11"/>
      <color rgb="FF1F3864"/>
      <name val="Calibri"/>
      <family val="2"/>
      <scheme val="minor"/>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79">
    <xf numFmtId="0" fontId="0" fillId="0" borderId="0" xfId="0"/>
    <xf numFmtId="0" fontId="5" fillId="0" borderId="0" xfId="0" applyFont="1"/>
    <xf numFmtId="0" fontId="3" fillId="0" borderId="0" xfId="0" applyFont="1"/>
    <xf numFmtId="0" fontId="7" fillId="0" borderId="0" xfId="0" applyFont="1"/>
    <xf numFmtId="0" fontId="2" fillId="0" borderId="0" xfId="0" applyFont="1"/>
    <xf numFmtId="0" fontId="1" fillId="2" borderId="1" xfId="0" applyFont="1" applyFill="1" applyBorder="1" applyAlignment="1">
      <alignment horizontal="center" vertical="center" wrapText="1"/>
    </xf>
    <xf numFmtId="0" fontId="4" fillId="0" borderId="1" xfId="0" applyFont="1" applyBorder="1"/>
    <xf numFmtId="168" fontId="4" fillId="0" borderId="1" xfId="0" applyNumberFormat="1" applyFont="1" applyBorder="1"/>
    <xf numFmtId="168" fontId="4" fillId="4" borderId="1" xfId="0" applyNumberFormat="1" applyFont="1" applyFill="1" applyBorder="1"/>
    <xf numFmtId="167" fontId="4" fillId="0" borderId="1" xfId="0" applyNumberFormat="1" applyFont="1" applyBorder="1"/>
    <xf numFmtId="168" fontId="2" fillId="0" borderId="1" xfId="0" applyNumberFormat="1" applyFont="1" applyBorder="1"/>
    <xf numFmtId="165" fontId="4" fillId="0" borderId="1" xfId="0" applyNumberFormat="1" applyFont="1" applyBorder="1"/>
    <xf numFmtId="0" fontId="7" fillId="0" borderId="1" xfId="0" applyFont="1" applyBorder="1"/>
    <xf numFmtId="168" fontId="7" fillId="0" borderId="1" xfId="0" applyNumberFormat="1" applyFont="1" applyBorder="1"/>
    <xf numFmtId="167" fontId="7" fillId="0" borderId="1" xfId="0" applyNumberFormat="1" applyFont="1" applyBorder="1"/>
    <xf numFmtId="0" fontId="2" fillId="0" borderId="1" xfId="0" applyFont="1" applyBorder="1"/>
    <xf numFmtId="168" fontId="7" fillId="4" borderId="1" xfId="0" applyNumberFormat="1" applyFont="1" applyFill="1" applyBorder="1"/>
    <xf numFmtId="0" fontId="6" fillId="3" borderId="1" xfId="0" applyFont="1" applyFill="1" applyBorder="1"/>
    <xf numFmtId="0" fontId="2" fillId="4" borderId="1" xfId="0" applyFont="1" applyFill="1" applyBorder="1"/>
    <xf numFmtId="0" fontId="2" fillId="0" borderId="1" xfId="0" applyFont="1" applyBorder="1" applyAlignment="1">
      <alignment vertical="top" wrapText="1"/>
    </xf>
    <xf numFmtId="165" fontId="6" fillId="3" borderId="1" xfId="0" applyNumberFormat="1" applyFont="1" applyFill="1" applyBorder="1"/>
    <xf numFmtId="1" fontId="6" fillId="3" borderId="1" xfId="0" applyNumberFormat="1" applyFont="1" applyFill="1" applyBorder="1"/>
    <xf numFmtId="2" fontId="6" fillId="3" borderId="1" xfId="0" applyNumberFormat="1" applyFont="1" applyFill="1" applyBorder="1"/>
    <xf numFmtId="167" fontId="6" fillId="3" borderId="1" xfId="0" applyNumberFormat="1" applyFont="1" applyFill="1" applyBorder="1"/>
    <xf numFmtId="0" fontId="4" fillId="0" borderId="1" xfId="0" applyFont="1" applyBorder="1" applyAlignment="1">
      <alignment horizontal="left"/>
    </xf>
    <xf numFmtId="1" fontId="2" fillId="0" borderId="1" xfId="0" applyNumberFormat="1" applyFont="1" applyBorder="1" applyAlignment="1">
      <alignment horizontal="right"/>
    </xf>
    <xf numFmtId="168" fontId="4" fillId="0" borderId="1" xfId="0" applyNumberFormat="1" applyFont="1" applyBorder="1" applyAlignment="1">
      <alignment horizontal="right"/>
    </xf>
    <xf numFmtId="3" fontId="4" fillId="0" borderId="1" xfId="0" applyNumberFormat="1" applyFont="1" applyBorder="1" applyAlignment="1">
      <alignment horizontal="right"/>
    </xf>
    <xf numFmtId="168" fontId="2" fillId="0" borderId="1" xfId="0" applyNumberFormat="1" applyFont="1" applyBorder="1" applyAlignment="1">
      <alignment horizontal="right"/>
    </xf>
    <xf numFmtId="165" fontId="2" fillId="0" borderId="1" xfId="0" applyNumberFormat="1" applyFont="1" applyBorder="1" applyAlignment="1">
      <alignment horizontal="right"/>
    </xf>
    <xf numFmtId="165" fontId="4" fillId="0" borderId="1" xfId="0" applyNumberFormat="1" applyFont="1" applyBorder="1" applyAlignment="1">
      <alignment horizontal="right"/>
    </xf>
    <xf numFmtId="169" fontId="2" fillId="0" borderId="1" xfId="0" applyNumberFormat="1" applyFont="1" applyBorder="1" applyAlignment="1">
      <alignment horizontal="right"/>
    </xf>
    <xf numFmtId="165" fontId="2" fillId="4" borderId="1" xfId="0" applyNumberFormat="1" applyFont="1" applyFill="1" applyBorder="1" applyAlignment="1">
      <alignment horizontal="right"/>
    </xf>
    <xf numFmtId="1" fontId="2" fillId="0" borderId="1" xfId="0" applyNumberFormat="1" applyFont="1" applyBorder="1"/>
    <xf numFmtId="166" fontId="2" fillId="0" borderId="1" xfId="0" applyNumberFormat="1" applyFont="1" applyBorder="1"/>
    <xf numFmtId="166" fontId="2" fillId="4" borderId="1" xfId="0" applyNumberFormat="1" applyFont="1" applyFill="1" applyBorder="1"/>
    <xf numFmtId="170" fontId="2" fillId="0" borderId="1" xfId="0" applyNumberFormat="1" applyFont="1" applyBorder="1"/>
    <xf numFmtId="171" fontId="2" fillId="0" borderId="1" xfId="0" applyNumberFormat="1" applyFont="1" applyBorder="1"/>
    <xf numFmtId="168" fontId="6" fillId="3" borderId="1" xfId="0" applyNumberFormat="1" applyFont="1" applyFill="1" applyBorder="1"/>
    <xf numFmtId="167" fontId="2" fillId="0" borderId="1" xfId="0" applyNumberFormat="1" applyFont="1" applyBorder="1"/>
    <xf numFmtId="171" fontId="7" fillId="0" borderId="1" xfId="0" applyNumberFormat="1" applyFont="1" applyBorder="1"/>
    <xf numFmtId="0" fontId="7" fillId="0" borderId="1" xfId="0" applyFont="1" applyBorder="1" applyAlignment="1">
      <alignment vertical="top" wrapText="1"/>
    </xf>
    <xf numFmtId="3" fontId="2" fillId="0" borderId="1" xfId="0" applyNumberFormat="1" applyFont="1" applyBorder="1"/>
    <xf numFmtId="164" fontId="2" fillId="0" borderId="1" xfId="0" applyNumberFormat="1" applyFont="1" applyBorder="1"/>
    <xf numFmtId="165" fontId="2" fillId="0" borderId="1" xfId="0" applyNumberFormat="1" applyFont="1" applyBorder="1"/>
    <xf numFmtId="2" fontId="2" fillId="0" borderId="1" xfId="0" applyNumberFormat="1" applyFont="1" applyBorder="1"/>
    <xf numFmtId="0" fontId="8" fillId="0" borderId="2" xfId="0" applyFont="1" applyBorder="1" applyAlignment="1">
      <alignment vertical="top" wrapText="1"/>
    </xf>
    <xf numFmtId="0" fontId="9" fillId="0" borderId="2" xfId="0" applyFont="1" applyBorder="1" applyAlignment="1">
      <alignment vertical="top" wrapText="1"/>
    </xf>
    <xf numFmtId="0" fontId="9" fillId="0" borderId="0" xfId="0" applyFont="1"/>
    <xf numFmtId="0" fontId="9" fillId="0" borderId="2" xfId="0" applyFont="1" applyBorder="1"/>
    <xf numFmtId="0" fontId="10" fillId="0" borderId="0" xfId="0" applyFont="1"/>
    <xf numFmtId="0" fontId="11" fillId="0" borderId="0" xfId="0" applyFont="1"/>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0" fontId="12" fillId="0" borderId="0" xfId="0" applyFont="1"/>
    <xf numFmtId="0" fontId="13" fillId="0" borderId="0" xfId="0" applyFont="1"/>
    <xf numFmtId="0" fontId="3" fillId="0" borderId="0" xfId="0" applyFont="1" applyAlignment="1">
      <alignment vertical="top" wrapText="1"/>
    </xf>
    <xf numFmtId="0" fontId="0" fillId="0" borderId="0" xfId="0"/>
    <xf numFmtId="0" fontId="2" fillId="0" borderId="0" xfId="0" applyFont="1" applyAlignment="1">
      <alignment vertical="top" wrapText="1"/>
    </xf>
    <xf numFmtId="0" fontId="2" fillId="0" borderId="3" xfId="0" applyFont="1" applyBorder="1"/>
    <xf numFmtId="168" fontId="2" fillId="0" borderId="4" xfId="0" applyNumberFormat="1" applyFont="1" applyBorder="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8" xfId="0" applyFont="1" applyBorder="1"/>
    <xf numFmtId="168" fontId="2" fillId="0" borderId="9" xfId="0" applyNumberFormat="1" applyFont="1" applyBorder="1"/>
    <xf numFmtId="168" fontId="6" fillId="3" borderId="9" xfId="0" applyNumberFormat="1" applyFont="1" applyFill="1" applyBorder="1"/>
    <xf numFmtId="167" fontId="2" fillId="0" borderId="9" xfId="0" applyNumberFormat="1" applyFont="1" applyBorder="1"/>
    <xf numFmtId="171" fontId="2" fillId="0" borderId="9" xfId="0" applyNumberFormat="1" applyFont="1" applyBorder="1"/>
    <xf numFmtId="165" fontId="4" fillId="0" borderId="9" xfId="0" applyNumberFormat="1" applyFont="1" applyBorder="1"/>
    <xf numFmtId="168" fontId="2" fillId="0" borderId="10" xfId="0" applyNumberFormat="1" applyFont="1" applyBorder="1"/>
    <xf numFmtId="0" fontId="2" fillId="0" borderId="3" xfId="0" applyFont="1" applyBorder="1" applyAlignment="1">
      <alignment vertical="top" wrapText="1"/>
    </xf>
    <xf numFmtId="168" fontId="2" fillId="4" borderId="4" xfId="0" applyNumberFormat="1" applyFont="1" applyFill="1" applyBorder="1"/>
    <xf numFmtId="0" fontId="2" fillId="0" borderId="8" xfId="0" applyFont="1" applyBorder="1" applyAlignment="1">
      <alignment vertical="top" wrapText="1"/>
    </xf>
    <xf numFmtId="0" fontId="2" fillId="0" borderId="9" xfId="0" applyFont="1" applyBorder="1" applyAlignment="1">
      <alignment vertical="top" wrapText="1"/>
    </xf>
    <xf numFmtId="3" fontId="2" fillId="0" borderId="9" xfId="0" applyNumberFormat="1" applyFont="1" applyBorder="1"/>
    <xf numFmtId="168" fontId="2" fillId="4" borderId="10" xfId="0" applyNumberFormat="1" applyFont="1" applyFill="1" applyBorder="1"/>
  </cellXfs>
  <cellStyles count="1">
    <cellStyle name="Normal" xfId="0" builtinId="0"/>
  </cellStyles>
  <dxfs count="33">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8" formatCode="#,##0;\(#,##0\);\-"/>
      <fill>
        <patternFill patternType="solid">
          <fgColor indexed="64"/>
          <bgColor rgb="FFE2EFDA"/>
        </patternFill>
      </fill>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3" formatCode="#,##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8000"/>
        <name val="Arial"/>
        <scheme val="none"/>
      </font>
      <numFmt numFmtId="165" formatCode="#,##0.00;\(#,##0.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71"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71"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7"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FF"/>
        <name val="Arial"/>
        <scheme val="none"/>
      </font>
      <numFmt numFmtId="168" formatCode="#,##0;\(#,##0\);\-"/>
      <fill>
        <patternFill patternType="solid">
          <fgColor indexed="64"/>
          <bgColor rgb="FFFFF2CC"/>
        </patternFill>
      </fill>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numFmt numFmtId="168" formatCode="#,##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Cumulative margin per customer by month</a:t>
            </a:r>
          </a:p>
        </c:rich>
      </c:tx>
      <c:overlay val="0"/>
    </c:title>
    <c:autoTitleDeleted val="0"/>
    <c:plotArea>
      <c:layout/>
      <c:lineChart>
        <c:grouping val="standard"/>
        <c:varyColors val="1"/>
        <c:ser>
          <c:idx val="0"/>
          <c:order val="0"/>
          <c:tx>
            <c:v>affiliate</c:v>
          </c:tx>
          <c:spPr>
            <a:ln>
              <a:prstDash val="solid"/>
            </a:ln>
          </c:spPr>
          <c:marker>
            <c:symbol val="none"/>
          </c:marker>
          <c:cat>
            <c:numRef>
              <c:f>Unit_Economics!$B$13:$M$13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Unit_Economics!$B$14:$M$14</c:f>
              <c:numCache>
                <c:formatCode>#,##0;\(#,##0\);\-</c:formatCode>
                <c:ptCount val="12"/>
                <c:pt idx="0">
                  <c:v>2.4089</c:v>
                </c:pt>
                <c:pt idx="1">
                  <c:v>17.526299999999999</c:v>
                </c:pt>
                <c:pt idx="2">
                  <c:v>42.817</c:v>
                </c:pt>
                <c:pt idx="3">
                  <c:v>65.381200000000007</c:v>
                </c:pt>
                <c:pt idx="4">
                  <c:v>98.819299999999998</c:v>
                </c:pt>
                <c:pt idx="5">
                  <c:v>131.40790000000001</c:v>
                </c:pt>
                <c:pt idx="6">
                  <c:v>165.16909999999999</c:v>
                </c:pt>
                <c:pt idx="7">
                  <c:v>189.4622</c:v>
                </c:pt>
                <c:pt idx="8">
                  <c:v>208.3741</c:v>
                </c:pt>
                <c:pt idx="9">
                  <c:v>225.60140000000001</c:v>
                </c:pt>
                <c:pt idx="10">
                  <c:v>237.5729</c:v>
                </c:pt>
                <c:pt idx="11">
                  <c:v>251.54159999999999</c:v>
                </c:pt>
              </c:numCache>
            </c:numRef>
          </c:val>
          <c:smooth val="1"/>
          <c:extLst>
            <c:ext xmlns:c16="http://schemas.microsoft.com/office/drawing/2014/chart" uri="{C3380CC4-5D6E-409C-BE32-E72D297353CC}">
              <c16:uniqueId val="{00000000-3D15-4B4C-B603-5C699A0DACD7}"/>
            </c:ext>
          </c:extLst>
        </c:ser>
        <c:ser>
          <c:idx val="1"/>
          <c:order val="1"/>
          <c:tx>
            <c:v>organic</c:v>
          </c:tx>
          <c:spPr>
            <a:ln>
              <a:prstDash val="solid"/>
            </a:ln>
          </c:spPr>
          <c:marker>
            <c:symbol val="none"/>
          </c:marker>
          <c:cat>
            <c:numRef>
              <c:f>Unit_Economics!$B$13:$M$13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Unit_Economics!$B$15:$M$15</c:f>
              <c:numCache>
                <c:formatCode>#,##0;\(#,##0\);\-</c:formatCode>
                <c:ptCount val="12"/>
                <c:pt idx="0">
                  <c:v>1.2565999999999999</c:v>
                </c:pt>
                <c:pt idx="1">
                  <c:v>13.925700000000001</c:v>
                </c:pt>
                <c:pt idx="2">
                  <c:v>30.171700000000001</c:v>
                </c:pt>
                <c:pt idx="3">
                  <c:v>47.657800000000002</c:v>
                </c:pt>
                <c:pt idx="4">
                  <c:v>67.618700000000004</c:v>
                </c:pt>
                <c:pt idx="5">
                  <c:v>89.392099999999999</c:v>
                </c:pt>
                <c:pt idx="6">
                  <c:v>113.1514</c:v>
                </c:pt>
                <c:pt idx="7">
                  <c:v>128.3168</c:v>
                </c:pt>
                <c:pt idx="8">
                  <c:v>141.87129999999999</c:v>
                </c:pt>
                <c:pt idx="9">
                  <c:v>152.3493</c:v>
                </c:pt>
                <c:pt idx="10">
                  <c:v>161.10730000000001</c:v>
                </c:pt>
                <c:pt idx="11">
                  <c:v>167.97</c:v>
                </c:pt>
              </c:numCache>
            </c:numRef>
          </c:val>
          <c:smooth val="1"/>
          <c:extLst>
            <c:ext xmlns:c16="http://schemas.microsoft.com/office/drawing/2014/chart" uri="{C3380CC4-5D6E-409C-BE32-E72D297353CC}">
              <c16:uniqueId val="{00000001-3D15-4B4C-B603-5C699A0DACD7}"/>
            </c:ext>
          </c:extLst>
        </c:ser>
        <c:ser>
          <c:idx val="2"/>
          <c:order val="2"/>
          <c:tx>
            <c:v>paid_search</c:v>
          </c:tx>
          <c:spPr>
            <a:ln>
              <a:prstDash val="solid"/>
            </a:ln>
          </c:spPr>
          <c:marker>
            <c:symbol val="none"/>
          </c:marker>
          <c:cat>
            <c:numRef>
              <c:f>Unit_Economics!$B$13:$M$13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Unit_Economics!$B$16:$M$16</c:f>
              <c:numCache>
                <c:formatCode>#,##0;\(#,##0\);\-</c:formatCode>
                <c:ptCount val="12"/>
                <c:pt idx="0">
                  <c:v>2.528</c:v>
                </c:pt>
                <c:pt idx="1">
                  <c:v>13.914999999999999</c:v>
                </c:pt>
                <c:pt idx="2">
                  <c:v>29.570399999999999</c:v>
                </c:pt>
                <c:pt idx="3">
                  <c:v>47.871200000000002</c:v>
                </c:pt>
                <c:pt idx="4">
                  <c:v>69.491</c:v>
                </c:pt>
                <c:pt idx="5">
                  <c:v>95.631799999999998</c:v>
                </c:pt>
                <c:pt idx="6">
                  <c:v>121.11369999999999</c:v>
                </c:pt>
                <c:pt idx="7">
                  <c:v>135.18690000000001</c:v>
                </c:pt>
                <c:pt idx="8">
                  <c:v>148.411</c:v>
                </c:pt>
                <c:pt idx="9">
                  <c:v>160.22219999999999</c:v>
                </c:pt>
                <c:pt idx="10">
                  <c:v>169.1412</c:v>
                </c:pt>
                <c:pt idx="11">
                  <c:v>185.3614</c:v>
                </c:pt>
              </c:numCache>
            </c:numRef>
          </c:val>
          <c:smooth val="1"/>
          <c:extLst>
            <c:ext xmlns:c16="http://schemas.microsoft.com/office/drawing/2014/chart" uri="{C3380CC4-5D6E-409C-BE32-E72D297353CC}">
              <c16:uniqueId val="{00000002-3D15-4B4C-B603-5C699A0DACD7}"/>
            </c:ext>
          </c:extLst>
        </c:ser>
        <c:ser>
          <c:idx val="3"/>
          <c:order val="3"/>
          <c:tx>
            <c:v>paid_social</c:v>
          </c:tx>
          <c:spPr>
            <a:ln>
              <a:prstDash val="solid"/>
            </a:ln>
          </c:spPr>
          <c:marker>
            <c:symbol val="none"/>
          </c:marker>
          <c:cat>
            <c:numRef>
              <c:f>Unit_Economics!$B$13:$M$13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Unit_Economics!$B$17:$M$17</c:f>
              <c:numCache>
                <c:formatCode>#,##0;\(#,##0\);\-</c:formatCode>
                <c:ptCount val="12"/>
                <c:pt idx="0">
                  <c:v>1.4054</c:v>
                </c:pt>
                <c:pt idx="1">
                  <c:v>11.942299999999999</c:v>
                </c:pt>
                <c:pt idx="2">
                  <c:v>27.527799999999999</c:v>
                </c:pt>
                <c:pt idx="3">
                  <c:v>43.982999999999997</c:v>
                </c:pt>
                <c:pt idx="4">
                  <c:v>62.242699999999999</c:v>
                </c:pt>
                <c:pt idx="5">
                  <c:v>83.584299999999999</c:v>
                </c:pt>
                <c:pt idx="6">
                  <c:v>106.1914</c:v>
                </c:pt>
                <c:pt idx="7">
                  <c:v>124.4682</c:v>
                </c:pt>
                <c:pt idx="8">
                  <c:v>140.70429999999999</c:v>
                </c:pt>
                <c:pt idx="9">
                  <c:v>154.11619999999999</c:v>
                </c:pt>
                <c:pt idx="10">
                  <c:v>158.99160000000001</c:v>
                </c:pt>
                <c:pt idx="11">
                  <c:v>171.27959999999999</c:v>
                </c:pt>
              </c:numCache>
            </c:numRef>
          </c:val>
          <c:smooth val="1"/>
          <c:extLst>
            <c:ext xmlns:c16="http://schemas.microsoft.com/office/drawing/2014/chart" uri="{C3380CC4-5D6E-409C-BE32-E72D297353CC}">
              <c16:uniqueId val="{00000003-3D15-4B4C-B603-5C699A0DACD7}"/>
            </c:ext>
          </c:extLst>
        </c:ser>
        <c:ser>
          <c:idx val="4"/>
          <c:order val="4"/>
          <c:tx>
            <c:v>referral</c:v>
          </c:tx>
          <c:spPr>
            <a:ln>
              <a:prstDash val="solid"/>
            </a:ln>
          </c:spPr>
          <c:marker>
            <c:symbol val="none"/>
          </c:marker>
          <c:cat>
            <c:numRef>
              <c:f>Unit_Economics!$B$13:$M$13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Unit_Economics!$B$18:$M$18</c:f>
              <c:numCache>
                <c:formatCode>#,##0;\(#,##0\);\-</c:formatCode>
                <c:ptCount val="12"/>
                <c:pt idx="0">
                  <c:v>0.98760000000000003</c:v>
                </c:pt>
                <c:pt idx="1">
                  <c:v>14.2468</c:v>
                </c:pt>
                <c:pt idx="2">
                  <c:v>29.124400000000001</c:v>
                </c:pt>
                <c:pt idx="3">
                  <c:v>45.637999999999998</c:v>
                </c:pt>
                <c:pt idx="4">
                  <c:v>60.3247</c:v>
                </c:pt>
                <c:pt idx="5">
                  <c:v>82.409199999999998</c:v>
                </c:pt>
                <c:pt idx="6">
                  <c:v>104.3729</c:v>
                </c:pt>
                <c:pt idx="7">
                  <c:v>119.5962</c:v>
                </c:pt>
                <c:pt idx="8">
                  <c:v>134.7122</c:v>
                </c:pt>
                <c:pt idx="9">
                  <c:v>148.08609999999999</c:v>
                </c:pt>
                <c:pt idx="10">
                  <c:v>159.2861</c:v>
                </c:pt>
                <c:pt idx="11">
                  <c:v>165.35929999999999</c:v>
                </c:pt>
              </c:numCache>
            </c:numRef>
          </c:val>
          <c:smooth val="1"/>
          <c:extLst>
            <c:ext xmlns:c16="http://schemas.microsoft.com/office/drawing/2014/chart" uri="{C3380CC4-5D6E-409C-BE32-E72D297353CC}">
              <c16:uniqueId val="{00000004-3D15-4B4C-B603-5C699A0DACD7}"/>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Month since first deposit</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EUR per customer</a:t>
                </a:r>
              </a:p>
            </c:rich>
          </c:tx>
          <c:overlay val="0"/>
        </c:title>
        <c:numFmt formatCode="#,##0;\(#,##0\);\-"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Spend by channel: baseline vs recommended (EUR, quarter)</a:t>
            </a:r>
          </a:p>
        </c:rich>
      </c:tx>
      <c:overlay val="0"/>
    </c:title>
    <c:autoTitleDeleted val="0"/>
    <c:plotArea>
      <c:layout/>
      <c:barChart>
        <c:barDir val="col"/>
        <c:grouping val="clustered"/>
        <c:varyColors val="1"/>
        <c:ser>
          <c:idx val="0"/>
          <c:order val="0"/>
          <c:tx>
            <c:v>Baseline</c:v>
          </c:tx>
          <c:spPr>
            <a:ln>
              <a:prstDash val="solid"/>
            </a:ln>
          </c:spPr>
          <c:invertIfNegative val="1"/>
          <c:cat>
            <c:strRef>
              <c:f>Optimizer!$A$5:$A$8</c:f>
              <c:strCache>
                <c:ptCount val="4"/>
                <c:pt idx="0">
                  <c:v>affiliate</c:v>
                </c:pt>
                <c:pt idx="1">
                  <c:v>paid_search</c:v>
                </c:pt>
                <c:pt idx="2">
                  <c:v>paid_social</c:v>
                </c:pt>
                <c:pt idx="3">
                  <c:v>referral</c:v>
                </c:pt>
              </c:strCache>
            </c:strRef>
          </c:cat>
          <c:val>
            <c:numRef>
              <c:f>Optimizer!$B$5:$B$8</c:f>
              <c:numCache>
                <c:formatCode>#,##0;\(#,##0\);\-</c:formatCode>
                <c:ptCount val="4"/>
                <c:pt idx="0">
                  <c:v>3116.48</c:v>
                </c:pt>
                <c:pt idx="1">
                  <c:v>5374.79</c:v>
                </c:pt>
                <c:pt idx="2">
                  <c:v>19030.080000000002</c:v>
                </c:pt>
                <c:pt idx="3">
                  <c:v>1081.3399999999999</c:v>
                </c:pt>
              </c:numCache>
            </c:numRef>
          </c:val>
          <c:extLst>
            <c:ext xmlns:c16="http://schemas.microsoft.com/office/drawing/2014/chart" uri="{C3380CC4-5D6E-409C-BE32-E72D297353CC}">
              <c16:uniqueId val="{00000000-DF24-4764-9311-F07F4B0AB1AB}"/>
            </c:ext>
          </c:extLst>
        </c:ser>
        <c:ser>
          <c:idx val="1"/>
          <c:order val="1"/>
          <c:tx>
            <c:v>Recommended</c:v>
          </c:tx>
          <c:spPr>
            <a:ln>
              <a:prstDash val="solid"/>
            </a:ln>
          </c:spPr>
          <c:invertIfNegative val="1"/>
          <c:cat>
            <c:strRef>
              <c:f>Optimizer!$A$5:$A$8</c:f>
              <c:strCache>
                <c:ptCount val="4"/>
                <c:pt idx="0">
                  <c:v>affiliate</c:v>
                </c:pt>
                <c:pt idx="1">
                  <c:v>paid_search</c:v>
                </c:pt>
                <c:pt idx="2">
                  <c:v>paid_social</c:v>
                </c:pt>
                <c:pt idx="3">
                  <c:v>referral</c:v>
                </c:pt>
              </c:strCache>
            </c:strRef>
          </c:cat>
          <c:val>
            <c:numRef>
              <c:f>Optimizer!$E$5:$E$8</c:f>
              <c:numCache>
                <c:formatCode>#,##0;\(#,##0\);\-</c:formatCode>
                <c:ptCount val="4"/>
                <c:pt idx="0">
                  <c:v>1558.2399999999998</c:v>
                </c:pt>
                <c:pt idx="1">
                  <c:v>2687.395</c:v>
                </c:pt>
                <c:pt idx="2">
                  <c:v>9515.0400000000009</c:v>
                </c:pt>
                <c:pt idx="3">
                  <c:v>1297.6079999999999</c:v>
                </c:pt>
              </c:numCache>
            </c:numRef>
          </c:val>
          <c:extLst>
            <c:ext xmlns:c16="http://schemas.microsoft.com/office/drawing/2014/chart" uri="{C3380CC4-5D6E-409C-BE32-E72D297353CC}">
              <c16:uniqueId val="{00000001-DF24-4764-9311-F07F4B0AB1AB}"/>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EUR per quarter</a:t>
                </a:r>
              </a:p>
            </c:rich>
          </c:tx>
          <c:overlay val="0"/>
        </c:title>
        <c:numFmt formatCode="#,##0;\(#,##0\);\-"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[budget_model.xlsx]Pivot_Tables!pt_cost</c:name>
    <c:fmtId val="0"/>
  </c:pivotSource>
  <c:chart>
    <c:title>
      <c:tx>
        <c:rich>
          <a:bodyPr/>
          <a:lstStyle/>
          <a:p>
            <a:pPr>
              <a:defRPr/>
            </a:pPr>
            <a:r>
              <a:rPr lang="en-US"/>
              <a:t>Cost per customer by quarter (EUR)</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Pivot_Tables!$B$33:$B$34</c:f>
              <c:strCache>
                <c:ptCount val="1"/>
                <c:pt idx="0">
                  <c:v>affiliate</c:v>
                </c:pt>
              </c:strCache>
            </c:strRef>
          </c:tx>
          <c:cat>
            <c:strRef>
              <c:f>Pivot_Tables!$A$35:$A$43</c:f>
              <c:strCache>
                <c:ptCount val="8"/>
                <c:pt idx="0">
                  <c:v>2024-Q4</c:v>
                </c:pt>
                <c:pt idx="1">
                  <c:v>2025-Q1</c:v>
                </c:pt>
                <c:pt idx="2">
                  <c:v>2025-Q2</c:v>
                </c:pt>
                <c:pt idx="3">
                  <c:v>2025-Q3</c:v>
                </c:pt>
                <c:pt idx="4">
                  <c:v>2025-Q4</c:v>
                </c:pt>
                <c:pt idx="5">
                  <c:v>2026-Q1</c:v>
                </c:pt>
                <c:pt idx="6">
                  <c:v>2026-Q2</c:v>
                </c:pt>
                <c:pt idx="7">
                  <c:v>2026-Q3</c:v>
                </c:pt>
              </c:strCache>
            </c:strRef>
          </c:cat>
          <c:val>
            <c:numRef>
              <c:f>Pivot_Tables!$B$35:$B$43</c:f>
              <c:numCache>
                <c:formatCode>#,##0.00</c:formatCode>
                <c:ptCount val="8"/>
                <c:pt idx="0">
                  <c:v>38.029188078108938</c:v>
                </c:pt>
                <c:pt idx="1">
                  <c:v>23.05298150841471</c:v>
                </c:pt>
                <c:pt idx="2">
                  <c:v>26.664315627066337</c:v>
                </c:pt>
                <c:pt idx="3">
                  <c:v>28.770503343892994</c:v>
                </c:pt>
                <c:pt idx="4">
                  <c:v>29.535882101665958</c:v>
                </c:pt>
                <c:pt idx="5">
                  <c:v>25.945648215586306</c:v>
                </c:pt>
                <c:pt idx="6">
                  <c:v>24.392149960397784</c:v>
                </c:pt>
                <c:pt idx="7">
                  <c:v>26.973169465120307</c:v>
                </c:pt>
              </c:numCache>
            </c:numRef>
          </c:val>
          <c:smooth val="0"/>
          <c:extLst>
            <c:ext xmlns:c16="http://schemas.microsoft.com/office/drawing/2014/chart" uri="{C3380CC4-5D6E-409C-BE32-E72D297353CC}">
              <c16:uniqueId val="{00000001-A379-4CE9-B6F0-369972D7C878}"/>
            </c:ext>
          </c:extLst>
        </c:ser>
        <c:ser>
          <c:idx val="1"/>
          <c:order val="1"/>
          <c:tx>
            <c:strRef>
              <c:f>Pivot_Tables!$C$33:$C$34</c:f>
              <c:strCache>
                <c:ptCount val="1"/>
                <c:pt idx="0">
                  <c:v>paid_search</c:v>
                </c:pt>
              </c:strCache>
            </c:strRef>
          </c:tx>
          <c:cat>
            <c:strRef>
              <c:f>Pivot_Tables!$A$35:$A$43</c:f>
              <c:strCache>
                <c:ptCount val="8"/>
                <c:pt idx="0">
                  <c:v>2024-Q4</c:v>
                </c:pt>
                <c:pt idx="1">
                  <c:v>2025-Q1</c:v>
                </c:pt>
                <c:pt idx="2">
                  <c:v>2025-Q2</c:v>
                </c:pt>
                <c:pt idx="3">
                  <c:v>2025-Q3</c:v>
                </c:pt>
                <c:pt idx="4">
                  <c:v>2025-Q4</c:v>
                </c:pt>
                <c:pt idx="5">
                  <c:v>2026-Q1</c:v>
                </c:pt>
                <c:pt idx="6">
                  <c:v>2026-Q2</c:v>
                </c:pt>
                <c:pt idx="7">
                  <c:v>2026-Q3</c:v>
                </c:pt>
              </c:strCache>
            </c:strRef>
          </c:cat>
          <c:val>
            <c:numRef>
              <c:f>Pivot_Tables!$C$35:$C$43</c:f>
              <c:numCache>
                <c:formatCode>#,##0.00</c:formatCode>
                <c:ptCount val="8"/>
                <c:pt idx="0">
                  <c:v>23.623763664757938</c:v>
                </c:pt>
                <c:pt idx="1">
                  <c:v>22.721272778774431</c:v>
                </c:pt>
                <c:pt idx="2">
                  <c:v>22.530990555677576</c:v>
                </c:pt>
                <c:pt idx="3">
                  <c:v>24.709489195470503</c:v>
                </c:pt>
                <c:pt idx="4">
                  <c:v>28.326870115370305</c:v>
                </c:pt>
                <c:pt idx="5">
                  <c:v>23.422256325797271</c:v>
                </c:pt>
                <c:pt idx="6">
                  <c:v>23.104706645799137</c:v>
                </c:pt>
                <c:pt idx="7">
                  <c:v>24.196596587583848</c:v>
                </c:pt>
              </c:numCache>
            </c:numRef>
          </c:val>
          <c:smooth val="0"/>
          <c:extLst>
            <c:ext xmlns:c16="http://schemas.microsoft.com/office/drawing/2014/chart" uri="{C3380CC4-5D6E-409C-BE32-E72D297353CC}">
              <c16:uniqueId val="{00000002-A379-4CE9-B6F0-369972D7C878}"/>
            </c:ext>
          </c:extLst>
        </c:ser>
        <c:ser>
          <c:idx val="2"/>
          <c:order val="2"/>
          <c:tx>
            <c:strRef>
              <c:f>Pivot_Tables!$D$33:$D$34</c:f>
              <c:strCache>
                <c:ptCount val="1"/>
                <c:pt idx="0">
                  <c:v>paid_social</c:v>
                </c:pt>
              </c:strCache>
            </c:strRef>
          </c:tx>
          <c:cat>
            <c:strRef>
              <c:f>Pivot_Tables!$A$35:$A$43</c:f>
              <c:strCache>
                <c:ptCount val="8"/>
                <c:pt idx="0">
                  <c:v>2024-Q4</c:v>
                </c:pt>
                <c:pt idx="1">
                  <c:v>2025-Q1</c:v>
                </c:pt>
                <c:pt idx="2">
                  <c:v>2025-Q2</c:v>
                </c:pt>
                <c:pt idx="3">
                  <c:v>2025-Q3</c:v>
                </c:pt>
                <c:pt idx="4">
                  <c:v>2025-Q4</c:v>
                </c:pt>
                <c:pt idx="5">
                  <c:v>2026-Q1</c:v>
                </c:pt>
                <c:pt idx="6">
                  <c:v>2026-Q2</c:v>
                </c:pt>
                <c:pt idx="7">
                  <c:v>2026-Q3</c:v>
                </c:pt>
              </c:strCache>
            </c:strRef>
          </c:cat>
          <c:val>
            <c:numRef>
              <c:f>Pivot_Tables!$D$35:$D$43</c:f>
              <c:numCache>
                <c:formatCode>#,##0.00</c:formatCode>
                <c:ptCount val="8"/>
                <c:pt idx="0">
                  <c:v>69.62231648199446</c:v>
                </c:pt>
                <c:pt idx="1">
                  <c:v>62.904035124398909</c:v>
                </c:pt>
                <c:pt idx="2">
                  <c:v>54.106111306798176</c:v>
                </c:pt>
                <c:pt idx="3">
                  <c:v>46.838532818532819</c:v>
                </c:pt>
                <c:pt idx="4">
                  <c:v>71.018072289156621</c:v>
                </c:pt>
                <c:pt idx="5">
                  <c:v>50.511384227526982</c:v>
                </c:pt>
                <c:pt idx="6">
                  <c:v>90.877439176284966</c:v>
                </c:pt>
                <c:pt idx="7">
                  <c:v>158.01776965872293</c:v>
                </c:pt>
              </c:numCache>
            </c:numRef>
          </c:val>
          <c:smooth val="0"/>
          <c:extLst>
            <c:ext xmlns:c16="http://schemas.microsoft.com/office/drawing/2014/chart" uri="{C3380CC4-5D6E-409C-BE32-E72D297353CC}">
              <c16:uniqueId val="{00000003-A379-4CE9-B6F0-369972D7C878}"/>
            </c:ext>
          </c:extLst>
        </c:ser>
        <c:ser>
          <c:idx val="3"/>
          <c:order val="3"/>
          <c:tx>
            <c:strRef>
              <c:f>Pivot_Tables!$E$33:$E$34</c:f>
              <c:strCache>
                <c:ptCount val="1"/>
                <c:pt idx="0">
                  <c:v>referral</c:v>
                </c:pt>
              </c:strCache>
            </c:strRef>
          </c:tx>
          <c:cat>
            <c:strRef>
              <c:f>Pivot_Tables!$A$35:$A$43</c:f>
              <c:strCache>
                <c:ptCount val="8"/>
                <c:pt idx="0">
                  <c:v>2024-Q4</c:v>
                </c:pt>
                <c:pt idx="1">
                  <c:v>2025-Q1</c:v>
                </c:pt>
                <c:pt idx="2">
                  <c:v>2025-Q2</c:v>
                </c:pt>
                <c:pt idx="3">
                  <c:v>2025-Q3</c:v>
                </c:pt>
                <c:pt idx="4">
                  <c:v>2025-Q4</c:v>
                </c:pt>
                <c:pt idx="5">
                  <c:v>2026-Q1</c:v>
                </c:pt>
                <c:pt idx="6">
                  <c:v>2026-Q2</c:v>
                </c:pt>
                <c:pt idx="7">
                  <c:v>2026-Q3</c:v>
                </c:pt>
              </c:strCache>
            </c:strRef>
          </c:cat>
          <c:val>
            <c:numRef>
              <c:f>Pivot_Tables!$E$35:$E$43</c:f>
              <c:numCache>
                <c:formatCode>#,##0.00</c:formatCode>
                <c:ptCount val="8"/>
                <c:pt idx="0">
                  <c:v>11.993647669320925</c:v>
                </c:pt>
                <c:pt idx="1">
                  <c:v>8.4084978540772521</c:v>
                </c:pt>
                <c:pt idx="2">
                  <c:v>9.6113537117903931</c:v>
                </c:pt>
                <c:pt idx="3">
                  <c:v>9.7985124439782592</c:v>
                </c:pt>
                <c:pt idx="4">
                  <c:v>10.932796927859561</c:v>
                </c:pt>
                <c:pt idx="5">
                  <c:v>9.8119165839126108</c:v>
                </c:pt>
                <c:pt idx="6">
                  <c:v>10.383719888958538</c:v>
                </c:pt>
                <c:pt idx="7">
                  <c:v>9.907824812167858</c:v>
                </c:pt>
              </c:numCache>
            </c:numRef>
          </c:val>
          <c:smooth val="0"/>
          <c:extLst>
            <c:ext xmlns:c16="http://schemas.microsoft.com/office/drawing/2014/chart" uri="{C3380CC4-5D6E-409C-BE32-E72D297353CC}">
              <c16:uniqueId val="{00000004-A379-4CE9-B6F0-369972D7C878}"/>
            </c:ext>
          </c:extLst>
        </c:ser>
        <c:dLbls>
          <c:showLegendKey val="0"/>
          <c:showVal val="0"/>
          <c:showCatName val="0"/>
          <c:showSerName val="0"/>
          <c:showPercent val="0"/>
          <c:showBubbleSize val="0"/>
        </c:dLbls>
        <c:marker val="1"/>
        <c:smooth val="0"/>
        <c:axId val="958602000"/>
        <c:axId val="958602480"/>
      </c:lineChart>
      <c:catAx>
        <c:axId val="958602000"/>
        <c:scaling>
          <c:orientation val="minMax"/>
        </c:scaling>
        <c:delete val="0"/>
        <c:axPos val="b"/>
        <c:numFmt formatCode="General" sourceLinked="1"/>
        <c:majorTickMark val="out"/>
        <c:minorTickMark val="none"/>
        <c:tickLblPos val="nextTo"/>
        <c:crossAx val="958602480"/>
        <c:crosses val="autoZero"/>
        <c:auto val="1"/>
        <c:lblAlgn val="ctr"/>
        <c:lblOffset val="100"/>
        <c:noMultiLvlLbl val="0"/>
      </c:catAx>
      <c:valAx>
        <c:axId val="958602480"/>
        <c:scaling>
          <c:orientation val="minMax"/>
        </c:scaling>
        <c:delete val="0"/>
        <c:axPos val="l"/>
        <c:majorGridlines/>
        <c:numFmt formatCode="#,##0.00" sourceLinked="1"/>
        <c:majorTickMark val="out"/>
        <c:minorTickMark val="none"/>
        <c:tickLblPos val="nextTo"/>
        <c:crossAx val="95860200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0</xdr:rowOff>
    </xdr:from>
    <xdr:ext cx="792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20</xdr:row>
      <xdr:rowOff>0</xdr:rowOff>
    </xdr:from>
    <xdr:ext cx="576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8</xdr:col>
      <xdr:colOff>0</xdr:colOff>
      <xdr:row>3</xdr:row>
      <xdr:rowOff>0</xdr:rowOff>
    </xdr:from>
    <xdr:to>
      <xdr:col>18</xdr:col>
      <xdr:colOff>508000</xdr:colOff>
      <xdr:row>23</xdr:row>
      <xdr:rowOff>167640</xdr:rowOff>
    </xdr:to>
    <xdr:graphicFrame macro="">
      <xdr:nvGraphicFramePr>
        <xdr:cNvPr id="2" name="pc_cost">
          <a:extLst>
            <a:ext uri="{FF2B5EF4-FFF2-40B4-BE49-F238E27FC236}">
              <a16:creationId xmlns:a16="http://schemas.microsoft.com/office/drawing/2014/main" id="{2B0CBF35-DC0F-7CBE-C702-19E7F1131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ΙΩΑΝΝΗΣ ΨΩΜΑΣ" refreshedDate="46317.5352025463" createdVersion="8" refreshedVersion="8" minRefreshableVersion="3" recordCount="96" xr:uid="{386943A2-C99E-42E1-89E0-1A0CE8C25E4E}">
  <cacheSource type="worksheet">
    <worksheetSource ref="A1:H97" sheet="Data_Monthly"/>
  </cacheSource>
  <cacheFields count="9">
    <cacheField name="channel_name" numFmtId="0">
      <sharedItems count="4">
        <s v="affiliate"/>
        <s v="paid_search"/>
        <s v="paid_social"/>
        <s v="referral"/>
      </sharedItems>
    </cacheField>
    <cacheField name="month_start" numFmtId="164">
      <sharedItems containsSemiMixedTypes="0" containsNonDate="0" containsDate="1" containsString="0" minDate="2024-10-01T00:00:00" maxDate="2026-09-02T00:00:00"/>
    </cacheField>
    <cacheField name="ad_spend" numFmtId="165">
      <sharedItems containsSemiMixedTypes="0" containsString="0" containsNumber="1" minValue="270.29000000000002" maxValue="7758.99"/>
    </cacheField>
    <cacheField name="credited_customers" numFmtId="2">
      <sharedItems containsSemiMixedTypes="0" containsString="0" containsNumber="1" minValue="18.100000000000001" maxValue="99.93"/>
    </cacheField>
    <cacheField name="in_baseline_quarter" numFmtId="0">
      <sharedItems containsSemiMixedTypes="0" containsString="0" containsNumber="1" containsInteger="1" minValue="0" maxValue="1"/>
    </cacheField>
    <cacheField name="ln_spend" numFmtId="166">
      <sharedItems containsSemiMixedTypes="0" containsString="0" containsNumber="1" minValue="5.5994954566675883" maxValue="8.9566074500672386"/>
    </cacheField>
    <cacheField name="ln_customers" numFmtId="166">
      <sharedItems containsSemiMixedTypes="0" containsString="0" containsNumber="1" minValue="2.8959119382717802" maxValue="4.604469940873698"/>
    </cacheField>
    <cacheField name="quarter" numFmtId="0">
      <sharedItems count="8">
        <s v="2024-Q4"/>
        <s v="2025-Q1"/>
        <s v="2025-Q2"/>
        <s v="2025-Q3"/>
        <s v="2025-Q4"/>
        <s v="2026-Q1"/>
        <s v="2026-Q2"/>
        <s v="2026-Q3"/>
      </sharedItems>
    </cacheField>
    <cacheField name="cost_per_customer" numFmtId="0" formula="ad_spend/credited_customer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d v="2024-10-01T00:00:00"/>
    <n v="645.39"/>
    <n v="18.100000000000001"/>
    <n v="0"/>
    <n v="6.4698547852307025"/>
    <n v="2.8959119382717802"/>
    <x v="0"/>
  </r>
  <r>
    <x v="0"/>
    <d v="2024-11-01T00:00:00"/>
    <n v="1351.87"/>
    <n v="36.4"/>
    <n v="0"/>
    <n v="7.2092440981336781"/>
    <n v="3.5945687746426951"/>
    <x v="0"/>
  </r>
  <r>
    <x v="0"/>
    <d v="2024-12-01T00:00:00"/>
    <n v="1702.98"/>
    <n v="42.8"/>
    <n v="0"/>
    <n v="7.4401349366125178"/>
    <n v="3.7565381025877511"/>
    <x v="0"/>
  </r>
  <r>
    <x v="0"/>
    <d v="2025-01-01T00:00:00"/>
    <n v="760.88"/>
    <n v="39.75"/>
    <n v="0"/>
    <n v="6.6344756581741304"/>
    <n v="3.6826098411003407"/>
    <x v="1"/>
  </r>
  <r>
    <x v="0"/>
    <d v="2025-02-01T00:00:00"/>
    <n v="816.16999999999985"/>
    <n v="18.38"/>
    <n v="0"/>
    <n v="6.7046226665990645"/>
    <n v="2.9112631169275409"/>
    <x v="1"/>
  </r>
  <r>
    <x v="0"/>
    <d v="2025-03-01T00:00:00"/>
    <n v="642.03"/>
    <n v="38.130000000000003"/>
    <n v="0"/>
    <n v="6.4646350315701593"/>
    <n v="3.6410013738694724"/>
    <x v="1"/>
  </r>
  <r>
    <x v="0"/>
    <d v="2025-04-01T00:00:00"/>
    <n v="874.67999999999984"/>
    <n v="26.87"/>
    <n v="0"/>
    <n v="6.7738581051821214"/>
    <n v="3.2910104226273997"/>
    <x v="2"/>
  </r>
  <r>
    <x v="0"/>
    <d v="2025-05-01T00:00:00"/>
    <n v="676.64"/>
    <n v="38.770000000000003"/>
    <n v="0"/>
    <n v="6.5171393737241781"/>
    <n v="3.6576467516828379"/>
    <x v="2"/>
  </r>
  <r>
    <x v="0"/>
    <d v="2025-06-01T00:00:00"/>
    <n v="868.2"/>
    <n v="25.1"/>
    <n v="0"/>
    <n v="6.7664221028654934"/>
    <n v="3.2228678461377385"/>
    <x v="2"/>
  </r>
  <r>
    <x v="0"/>
    <d v="2025-07-01T00:00:00"/>
    <n v="697.36"/>
    <n v="21.43"/>
    <n v="0"/>
    <n v="6.5473017767033204"/>
    <n v="3.0647918094854858"/>
    <x v="3"/>
  </r>
  <r>
    <x v="0"/>
    <d v="2025-08-01T00:00:00"/>
    <n v="819.02999999999986"/>
    <n v="25.4"/>
    <n v="0"/>
    <n v="6.7081207132188361"/>
    <n v="3.2347491740244907"/>
    <x v="3"/>
  </r>
  <r>
    <x v="0"/>
    <d v="2025-09-01T00:00:00"/>
    <n v="935.72"/>
    <n v="38.4"/>
    <n v="0"/>
    <n v="6.8413162864255668"/>
    <n v="3.648057459593681"/>
    <x v="3"/>
  </r>
  <r>
    <x v="0"/>
    <d v="2025-10-01T00:00:00"/>
    <n v="1067.93"/>
    <n v="35.93"/>
    <n v="0"/>
    <n v="6.973477474300938"/>
    <n v="3.5815726011254272"/>
    <x v="4"/>
  </r>
  <r>
    <x v="0"/>
    <d v="2025-11-01T00:00:00"/>
    <n v="1584.33"/>
    <n v="50.93"/>
    <n v="0"/>
    <n v="7.367916884009329"/>
    <n v="3.9304521408965134"/>
    <x v="4"/>
  </r>
  <r>
    <x v="0"/>
    <d v="2025-12-01T00:00:00"/>
    <n v="1496.35"/>
    <n v="53.6"/>
    <n v="0"/>
    <n v="7.3107840883899513"/>
    <n v="3.9815490680767565"/>
    <x v="4"/>
  </r>
  <r>
    <x v="0"/>
    <d v="2026-01-01T00:00:00"/>
    <n v="872.65"/>
    <n v="45.4"/>
    <n v="0"/>
    <n v="6.7715345590708456"/>
    <n v="3.8155121050473024"/>
    <x v="5"/>
  </r>
  <r>
    <x v="0"/>
    <d v="2026-02-01T00:00:00"/>
    <n v="987.04"/>
    <n v="30.77"/>
    <n v="0"/>
    <n v="6.8947105654613283"/>
    <n v="3.4265401893339504"/>
    <x v="5"/>
  </r>
  <r>
    <x v="0"/>
    <d v="2026-03-01T00:00:00"/>
    <n v="990.18"/>
    <n v="33.67"/>
    <n v="0"/>
    <n v="6.8978867447835315"/>
    <n v="3.5166072331729832"/>
    <x v="5"/>
  </r>
  <r>
    <x v="0"/>
    <d v="2026-04-01T00:00:00"/>
    <n v="1153.2"/>
    <n v="43.1"/>
    <n v="0"/>
    <n v="7.0502959657642474"/>
    <n v="3.763522997109702"/>
    <x v="6"/>
  </r>
  <r>
    <x v="0"/>
    <d v="2026-05-01T00:00:00"/>
    <n v="687.27"/>
    <n v="28.53"/>
    <n v="0"/>
    <n v="6.5327272281133659"/>
    <n v="3.3509561652254085"/>
    <x v="6"/>
  </r>
  <r>
    <x v="0"/>
    <d v="2026-06-01T00:00:00"/>
    <n v="931.21"/>
    <n v="42"/>
    <n v="0"/>
    <n v="6.8364848157511275"/>
    <n v="3.7376696182833684"/>
    <x v="6"/>
  </r>
  <r>
    <x v="0"/>
    <d v="2026-07-01T00:00:00"/>
    <n v="775.65"/>
    <n v="39.369999999999997"/>
    <n v="1"/>
    <n v="6.6537013875103401"/>
    <n v="3.6730041049556461"/>
    <x v="7"/>
  </r>
  <r>
    <x v="0"/>
    <d v="2026-08-01T00:00:00"/>
    <n v="960.81"/>
    <n v="23.7"/>
    <n v="1"/>
    <n v="6.8677766787049501"/>
    <n v="3.1654750481410856"/>
    <x v="7"/>
  </r>
  <r>
    <x v="0"/>
    <d v="2026-09-01T00:00:00"/>
    <n v="1380.02"/>
    <n v="52.47"/>
    <n v="1"/>
    <n v="7.2298532707998548"/>
    <n v="3.9602415776986204"/>
    <x v="7"/>
  </r>
  <r>
    <x v="1"/>
    <d v="2024-10-01T00:00:00"/>
    <n v="1438.45"/>
    <n v="55.6"/>
    <n v="0"/>
    <n v="7.2713214239585957"/>
    <n v="4.0181832012565364"/>
    <x v="0"/>
  </r>
  <r>
    <x v="1"/>
    <d v="2024-11-01T00:00:00"/>
    <n v="1734.92"/>
    <n v="83.02"/>
    <n v="0"/>
    <n v="7.4587165818077974"/>
    <n v="4.4190815426248928"/>
    <x v="0"/>
  </r>
  <r>
    <x v="1"/>
    <d v="2024-12-01T00:00:00"/>
    <n v="2272.38"/>
    <n v="91.9"/>
    <n v="0"/>
    <n v="7.7285830193768579"/>
    <n v="4.5207010293616419"/>
    <x v="0"/>
  </r>
  <r>
    <x v="1"/>
    <d v="2025-01-01T00:00:00"/>
    <n v="1712.58"/>
    <n v="78.12"/>
    <n v="0"/>
    <n v="7.4457562843737204"/>
    <n v="4.3582461060084778"/>
    <x v="1"/>
  </r>
  <r>
    <x v="1"/>
    <d v="2025-02-01T00:00:00"/>
    <n v="1504.03"/>
    <n v="73.97"/>
    <n v="0"/>
    <n v="7.315903451119361"/>
    <n v="4.3036596055997762"/>
    <x v="1"/>
  </r>
  <r>
    <x v="1"/>
    <d v="2025-03-01T00:00:00"/>
    <n v="1596.21"/>
    <n v="59.73"/>
    <n v="0"/>
    <n v="7.3753873483013717"/>
    <n v="4.0898344067442149"/>
    <x v="1"/>
  </r>
  <r>
    <x v="1"/>
    <d v="2025-04-01T00:00:00"/>
    <n v="1880.98"/>
    <n v="77.72"/>
    <n v="0"/>
    <n v="7.5395481966022917"/>
    <n v="4.3531126245092393"/>
    <x v="2"/>
  </r>
  <r>
    <x v="1"/>
    <d v="2025-05-01T00:00:00"/>
    <n v="1668.95"/>
    <n v="74.53"/>
    <n v="0"/>
    <n v="7.4199499651543661"/>
    <n v="4.3112017288936029"/>
    <x v="2"/>
  </r>
  <r>
    <x v="1"/>
    <d v="2025-06-01T00:00:00"/>
    <n v="1579.25"/>
    <n v="75.400000000000006"/>
    <n v="0"/>
    <n v="7.3647053297788094"/>
    <n v="4.3228072750139104"/>
    <x v="2"/>
  </r>
  <r>
    <x v="1"/>
    <d v="2025-07-01T00:00:00"/>
    <n v="1771.69"/>
    <n v="67.23"/>
    <n v="0"/>
    <n v="7.479689172294024"/>
    <n v="4.2081195764809456"/>
    <x v="3"/>
  </r>
  <r>
    <x v="1"/>
    <d v="2025-08-01T00:00:00"/>
    <n v="1461.5"/>
    <n v="58.53"/>
    <n v="0"/>
    <n v="7.2872185845513009"/>
    <n v="4.0695394433031291"/>
    <x v="3"/>
  </r>
  <r>
    <x v="1"/>
    <d v="2025-09-01T00:00:00"/>
    <n v="1763.81"/>
    <n v="76.47"/>
    <n v="0"/>
    <n v="7.4752315210150577"/>
    <n v="4.3368985070561337"/>
    <x v="3"/>
  </r>
  <r>
    <x v="1"/>
    <d v="2025-10-01T00:00:00"/>
    <n v="1645.56"/>
    <n v="73.67"/>
    <n v="0"/>
    <n v="7.4058360307997626"/>
    <n v="4.2995956606947221"/>
    <x v="4"/>
  </r>
  <r>
    <x v="1"/>
    <d v="2025-11-01T00:00:00"/>
    <n v="2967.14"/>
    <n v="95.1"/>
    <n v="0"/>
    <n v="7.995353804887082"/>
    <n v="4.5549289695513444"/>
    <x v="4"/>
  </r>
  <r>
    <x v="1"/>
    <d v="2025-12-01T00:00:00"/>
    <n v="2998.73"/>
    <n v="99.93"/>
    <n v="0"/>
    <n v="8.0059441446860617"/>
    <n v="4.604469940873698"/>
    <x v="4"/>
  </r>
  <r>
    <x v="1"/>
    <d v="2026-01-01T00:00:00"/>
    <n v="2332.77"/>
    <n v="98.5"/>
    <n v="0"/>
    <n v="7.7548116816493433"/>
    <n v="4.5900565481780431"/>
    <x v="5"/>
  </r>
  <r>
    <x v="1"/>
    <d v="2026-02-01T00:00:00"/>
    <n v="1825.15"/>
    <n v="86.23"/>
    <n v="0"/>
    <n v="7.5094174544198546"/>
    <n v="4.4570181449642332"/>
    <x v="5"/>
  </r>
  <r>
    <x v="1"/>
    <d v="2026-03-01T00:00:00"/>
    <n v="2099.5700000000002"/>
    <n v="82.43"/>
    <n v="0"/>
    <n v="7.6494878408401714"/>
    <n v="4.411949448325136"/>
    <x v="5"/>
  </r>
  <r>
    <x v="1"/>
    <d v="2026-04-01T00:00:00"/>
    <n v="1977.91"/>
    <n v="84.2"/>
    <n v="0"/>
    <n v="7.5897960106419164"/>
    <n v="4.4331949212482815"/>
    <x v="6"/>
  </r>
  <r>
    <x v="1"/>
    <d v="2026-05-01T00:00:00"/>
    <n v="2284.65"/>
    <n v="97.6"/>
    <n v="0"/>
    <n v="7.7339681187296225"/>
    <n v="4.580877493419047"/>
    <x v="6"/>
  </r>
  <r>
    <x v="1"/>
    <d v="2026-06-01T00:00:00"/>
    <n v="1790.18"/>
    <n v="80.17"/>
    <n v="0"/>
    <n v="7.4900714524383352"/>
    <n v="4.3841493800548603"/>
    <x v="6"/>
  </r>
  <r>
    <x v="1"/>
    <d v="2026-07-01T00:00:00"/>
    <n v="1597.57"/>
    <n v="61.2"/>
    <n v="1"/>
    <n v="7.3762390037580428"/>
    <n v="4.1141471895182802"/>
    <x v="7"/>
  </r>
  <r>
    <x v="1"/>
    <d v="2026-08-01T00:00:00"/>
    <n v="1676.72"/>
    <n v="76.13"/>
    <n v="1"/>
    <n v="7.4245947830649044"/>
    <n v="4.3324424053181207"/>
    <x v="7"/>
  </r>
  <r>
    <x v="1"/>
    <d v="2026-09-01T00:00:00"/>
    <n v="2100.5"/>
    <n v="84.8"/>
    <n v="1"/>
    <n v="7.6499306906094366"/>
    <n v="4.4402955427978572"/>
    <x v="7"/>
  </r>
  <r>
    <x v="2"/>
    <d v="2024-10-01T00:00:00"/>
    <n v="1415.61"/>
    <n v="19.899999999999999"/>
    <n v="0"/>
    <n v="7.25531581258877"/>
    <n v="2.9907197317304468"/>
    <x v="0"/>
  </r>
  <r>
    <x v="2"/>
    <d v="2024-11-01T00:00:00"/>
    <n v="2561.34"/>
    <n v="43.42"/>
    <n v="0"/>
    <n v="7.8482858380279863"/>
    <n v="3.7709201644501458"/>
    <x v="0"/>
  </r>
  <r>
    <x v="2"/>
    <d v="2024-12-01T00:00:00"/>
    <n v="4065.82"/>
    <n v="52.2"/>
    <n v="0"/>
    <n v="8.3103707236559803"/>
    <n v="3.9550824948885932"/>
    <x v="0"/>
  </r>
  <r>
    <x v="2"/>
    <d v="2025-01-01T00:00:00"/>
    <n v="2298.98"/>
    <n v="35.43"/>
    <n v="0"/>
    <n v="7.7402208252908045"/>
    <n v="3.5675589188773804"/>
    <x v="1"/>
  </r>
  <r>
    <x v="2"/>
    <d v="2025-02-01T00:00:00"/>
    <n v="1585.31"/>
    <n v="32.729999999999997"/>
    <n v="0"/>
    <n v="7.3685352507836175"/>
    <n v="3.4882920885130893"/>
    <x v="1"/>
  </r>
  <r>
    <x v="2"/>
    <d v="2025-03-01T00:00:00"/>
    <n v="2133.11"/>
    <n v="27.5"/>
    <n v="0"/>
    <n v="7.6653362876995352"/>
    <n v="3.3141860046725258"/>
    <x v="1"/>
  </r>
  <r>
    <x v="2"/>
    <d v="2025-04-01T00:00:00"/>
    <n v="1826.91"/>
    <n v="38.369999999999997"/>
    <n v="0"/>
    <n v="7.5103812940808963"/>
    <n v="3.6472759042588612"/>
    <x v="2"/>
  </r>
  <r>
    <x v="2"/>
    <d v="2025-05-01T00:00:00"/>
    <n v="2181.15"/>
    <n v="31.97"/>
    <n v="0"/>
    <n v="7.6876075396276047"/>
    <n v="3.4647979630717503"/>
    <x v="2"/>
  </r>
  <r>
    <x v="2"/>
    <d v="2025-06-01T00:00:00"/>
    <n v="2136.23"/>
    <n v="43.22"/>
    <n v="0"/>
    <n v="7.6667978721858576"/>
    <n v="3.76630335107874"/>
    <x v="2"/>
  </r>
  <r>
    <x v="2"/>
    <d v="2025-07-01T00:00:00"/>
    <n v="1892.54"/>
    <n v="43.03"/>
    <n v="0"/>
    <n v="7.5456751211516488"/>
    <n v="3.7618975468505083"/>
    <x v="3"/>
  </r>
  <r>
    <x v="2"/>
    <d v="2025-08-01T00:00:00"/>
    <n v="1597.81"/>
    <n v="37"/>
    <n v="0"/>
    <n v="7.3763892206339392"/>
    <n v="3.6109179126442243"/>
    <x v="3"/>
  </r>
  <r>
    <x v="2"/>
    <d v="2025-09-01T00:00:00"/>
    <n v="2575.2399999999998"/>
    <n v="49.47"/>
    <n v="0"/>
    <n v="7.8536980126381195"/>
    <n v="3.9013664252396172"/>
    <x v="3"/>
  </r>
  <r>
    <x v="2"/>
    <d v="2025-10-01T00:00:00"/>
    <n v="2361.4299999999998"/>
    <n v="38.229999999999997"/>
    <n v="0"/>
    <n v="7.7670226467202514"/>
    <n v="3.6436205477083212"/>
    <x v="4"/>
  </r>
  <r>
    <x v="2"/>
    <d v="2025-11-01T00:00:00"/>
    <n v="4512.43"/>
    <n v="52.1"/>
    <n v="0"/>
    <n v="8.4145910900554437"/>
    <n v="3.9531649487593215"/>
    <x v="4"/>
  </r>
  <r>
    <x v="2"/>
    <d v="2025-12-01T00:00:00"/>
    <n v="4443.58"/>
    <n v="69.03"/>
    <n v="0"/>
    <n v="8.3992156368422766"/>
    <n v="4.2345411927153842"/>
    <x v="4"/>
  </r>
  <r>
    <x v="2"/>
    <d v="2026-01-01T00:00:00"/>
    <n v="2035.75"/>
    <n v="52.9"/>
    <n v="0"/>
    <n v="7.6186195803472403"/>
    <n v="3.9684033388642534"/>
    <x v="5"/>
  </r>
  <r>
    <x v="2"/>
    <d v="2026-02-01T00:00:00"/>
    <n v="2328.58"/>
    <n v="36.43"/>
    <n v="0"/>
    <n v="7.7530139187143607"/>
    <n v="3.5953926110204724"/>
    <x v="5"/>
  </r>
  <r>
    <x v="2"/>
    <d v="2026-03-01T00:00:00"/>
    <n v="2047.08"/>
    <n v="37.6"/>
    <n v="0"/>
    <n v="7.6241696664804284"/>
    <n v="3.6270040503958487"/>
    <x v="5"/>
  </r>
  <r>
    <x v="2"/>
    <d v="2026-04-01T00:00:00"/>
    <n v="3020.39"/>
    <n v="45.2"/>
    <n v="0"/>
    <n v="8.0131412411040301"/>
    <n v="3.8110970868381857"/>
    <x v="6"/>
  </r>
  <r>
    <x v="2"/>
    <d v="2026-05-01T00:00:00"/>
    <n v="2411.8200000000002"/>
    <n v="42.5"/>
    <n v="0"/>
    <n v="7.788136928196681"/>
    <n v="3.7495040759303713"/>
    <x v="6"/>
  </r>
  <r>
    <x v="2"/>
    <d v="2026-06-01T00:00:00"/>
    <n v="5512.16"/>
    <n v="32.729999999999997"/>
    <n v="0"/>
    <n v="8.6147118398484004"/>
    <n v="3.4882920885130893"/>
    <x v="6"/>
  </r>
  <r>
    <x v="2"/>
    <d v="2026-07-01T00:00:00"/>
    <n v="5883.21"/>
    <n v="39.630000000000003"/>
    <n v="1"/>
    <n v="8.6798578103007991"/>
    <n v="3.6795864072023439"/>
    <x v="7"/>
  </r>
  <r>
    <x v="2"/>
    <d v="2026-08-01T00:00:00"/>
    <n v="5387.88"/>
    <n v="26.83"/>
    <n v="1"/>
    <n v="8.5919072655673148"/>
    <n v="3.2895206644375325"/>
    <x v="7"/>
  </r>
  <r>
    <x v="2"/>
    <d v="2026-09-01T00:00:00"/>
    <n v="7758.99"/>
    <n v="53.97"/>
    <n v="1"/>
    <n v="8.9566074500672386"/>
    <n v="3.9884283366305513"/>
    <x v="7"/>
  </r>
  <r>
    <x v="3"/>
    <d v="2024-10-01T00:00:00"/>
    <n v="348.43"/>
    <n v="27"/>
    <n v="0"/>
    <n v="5.8534373491932019"/>
    <n v="3.2958368660043291"/>
    <x v="0"/>
  </r>
  <r>
    <x v="3"/>
    <d v="2024-11-01T00:00:00"/>
    <n v="506.87"/>
    <n v="45.37"/>
    <n v="0"/>
    <n v="6.2282545604560431"/>
    <n v="3.8148510936758724"/>
    <x v="0"/>
  </r>
  <r>
    <x v="3"/>
    <d v="2024-12-01T00:00:00"/>
    <n v="485.23"/>
    <n v="39.4"/>
    <n v="0"/>
    <n v="6.1846230053316136"/>
    <n v="3.673765816303888"/>
    <x v="0"/>
  </r>
  <r>
    <x v="3"/>
    <d v="2025-01-01T00:00:00"/>
    <n v="322.23"/>
    <n v="36.200000000000003"/>
    <n v="0"/>
    <n v="5.7752655762780654"/>
    <n v="3.5890591188317256"/>
    <x v="1"/>
  </r>
  <r>
    <x v="3"/>
    <d v="2025-02-01T00:00:00"/>
    <n v="387.07"/>
    <n v="44.8"/>
    <n v="0"/>
    <n v="5.9586055552262005"/>
    <n v="3.8022081394209395"/>
    <x v="1"/>
  </r>
  <r>
    <x v="3"/>
    <d v="2025-03-01T00:00:00"/>
    <n v="270.29000000000002"/>
    <n v="35.5"/>
    <n v="0"/>
    <n v="5.5994954566675883"/>
    <n v="3.5695326964813701"/>
    <x v="1"/>
  </r>
  <r>
    <x v="3"/>
    <d v="2025-04-01T00:00:00"/>
    <n v="338.51"/>
    <n v="31.3"/>
    <n v="0"/>
    <n v="5.8245536340134594"/>
    <n v="3.4436180975461075"/>
    <x v="2"/>
  </r>
  <r>
    <x v="3"/>
    <d v="2025-05-01T00:00:00"/>
    <n v="283.2"/>
    <n v="33.97"/>
    <n v="0"/>
    <n v="5.6461533618195645"/>
    <n v="3.5254777821724925"/>
    <x v="2"/>
  </r>
  <r>
    <x v="3"/>
    <d v="2025-06-01T00:00:00"/>
    <n v="324.72000000000003"/>
    <n v="33.200000000000003"/>
    <n v="0"/>
    <n v="5.7829632725306421"/>
    <n v="3.5025498759224432"/>
    <x v="2"/>
  </r>
  <r>
    <x v="3"/>
    <d v="2025-07-01T00:00:00"/>
    <n v="292.60000000000002"/>
    <n v="36.5"/>
    <n v="0"/>
    <n v="5.6788064885860239"/>
    <n v="3.597312260588446"/>
    <x v="3"/>
  </r>
  <r>
    <x v="3"/>
    <d v="2025-08-01T00:00:00"/>
    <n v="354.79"/>
    <n v="32.299999999999997"/>
    <n v="0"/>
    <n v="5.8715260651453258"/>
    <n v="3.475067230228611"/>
    <x v="3"/>
  </r>
  <r>
    <x v="3"/>
    <d v="2025-09-01T00:00:00"/>
    <n v="380.18"/>
    <n v="36.07"/>
    <n v="0"/>
    <n v="5.9406448247780075"/>
    <n v="3.5854614949154477"/>
    <x v="3"/>
  </r>
  <r>
    <x v="3"/>
    <d v="2025-10-01T00:00:00"/>
    <n v="302.43"/>
    <n v="33.299999999999997"/>
    <n v="0"/>
    <n v="5.7118498457339602"/>
    <n v="3.505557396986398"/>
    <x v="4"/>
  </r>
  <r>
    <x v="3"/>
    <d v="2025-11-01T00:00:00"/>
    <n v="408.93"/>
    <n v="40.4"/>
    <n v="0"/>
    <n v="6.0135439922508613"/>
    <n v="3.6988297849671046"/>
    <x v="4"/>
  </r>
  <r>
    <x v="3"/>
    <d v="2025-12-01T00:00:00"/>
    <n v="484.36"/>
    <n v="35.67"/>
    <n v="0"/>
    <n v="6.1828284318861657"/>
    <n v="3.5743099993708003"/>
    <x v="4"/>
  </r>
  <r>
    <x v="3"/>
    <d v="2026-01-01T00:00:00"/>
    <n v="347.71"/>
    <n v="32.5"/>
    <n v="0"/>
    <n v="5.8513687990258969"/>
    <n v="3.4812400893356918"/>
    <x v="5"/>
  </r>
  <r>
    <x v="3"/>
    <d v="2026-02-01T00:00:00"/>
    <n v="327.17"/>
    <n v="38.200000000000003"/>
    <n v="0"/>
    <n v="5.7904799134835132"/>
    <n v="3.6428355156125294"/>
    <x v="5"/>
  </r>
  <r>
    <x v="3"/>
    <d v="2026-03-01T00:00:00"/>
    <n v="313.18"/>
    <n v="30"/>
    <n v="0"/>
    <n v="5.746778105117297"/>
    <n v="3.4011973816621555"/>
    <x v="5"/>
  </r>
  <r>
    <x v="3"/>
    <d v="2026-04-01T00:00:00"/>
    <n v="347.89"/>
    <n v="28.6"/>
    <n v="0"/>
    <n v="5.8518863378528598"/>
    <n v="3.3534067178258069"/>
    <x v="6"/>
  </r>
  <r>
    <x v="3"/>
    <d v="2026-05-01T00:00:00"/>
    <n v="372.6"/>
    <n v="43.57"/>
    <n v="0"/>
    <n v="5.9205054581674883"/>
    <n v="3.7743688401293509"/>
    <x v="6"/>
  </r>
  <r>
    <x v="3"/>
    <d v="2026-06-01T00:00:00"/>
    <n v="439.06"/>
    <n v="39.5"/>
    <n v="0"/>
    <n v="6.0846360779957767"/>
    <n v="3.6763006719070761"/>
    <x v="6"/>
  </r>
  <r>
    <x v="3"/>
    <d v="2026-07-01T00:00:00"/>
    <n v="358.7"/>
    <n v="39"/>
    <n v="1"/>
    <n v="5.8824863845382369"/>
    <n v="3.6635616461296463"/>
    <x v="7"/>
  </r>
  <r>
    <x v="3"/>
    <d v="2026-08-01T00:00:00"/>
    <n v="331.08"/>
    <n v="30.77"/>
    <n v="1"/>
    <n v="5.8023600380171949"/>
    <n v="3.4265401893339504"/>
    <x v="7"/>
  </r>
  <r>
    <x v="3"/>
    <d v="2026-09-01T00:00:00"/>
    <n v="391.56"/>
    <n v="39.369999999999997"/>
    <n v="1"/>
    <n v="5.9701387603932297"/>
    <n v="3.673004104955646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AC0DEC-182A-4E90-B978-16061F2A19B4}" name="pt_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3:F43" firstHeaderRow="1" firstDataRow="2" firstDataCol="1"/>
  <pivotFields count="9">
    <pivotField axis="axisCol" showAll="0">
      <items count="5">
        <item x="0"/>
        <item x="1"/>
        <item x="2"/>
        <item x="3"/>
        <item t="default"/>
      </items>
    </pivotField>
    <pivotField numFmtId="164" showAll="0"/>
    <pivotField numFmtId="165" showAll="0"/>
    <pivotField numFmtId="2" showAll="0"/>
    <pivotField showAll="0"/>
    <pivotField numFmtId="166" showAll="0"/>
    <pivotField numFmtId="166" showAll="0"/>
    <pivotField axis="axisRow" showAll="0">
      <items count="9">
        <item x="0"/>
        <item x="1"/>
        <item x="2"/>
        <item x="3"/>
        <item x="4"/>
        <item x="5"/>
        <item x="6"/>
        <item x="7"/>
        <item t="default"/>
      </items>
    </pivotField>
    <pivotField dataField="1" dragToRow="0" dragToCol="0" dragToPage="0" showAll="0" defaultSubtotal="0"/>
  </pivotFields>
  <rowFields count="1">
    <field x="7"/>
  </rowFields>
  <rowItems count="9">
    <i>
      <x/>
    </i>
    <i>
      <x v="1"/>
    </i>
    <i>
      <x v="2"/>
    </i>
    <i>
      <x v="3"/>
    </i>
    <i>
      <x v="4"/>
    </i>
    <i>
      <x v="5"/>
    </i>
    <i>
      <x v="6"/>
    </i>
    <i>
      <x v="7"/>
    </i>
    <i t="grand">
      <x/>
    </i>
  </rowItems>
  <colFields count="1">
    <field x="0"/>
  </colFields>
  <colItems count="5">
    <i>
      <x/>
    </i>
    <i>
      <x v="1"/>
    </i>
    <i>
      <x v="2"/>
    </i>
    <i>
      <x v="3"/>
    </i>
    <i t="grand">
      <x/>
    </i>
  </colItems>
  <dataFields count="1">
    <dataField name="Cost per customer" fld="8" baseField="0" baseItem="0" numFmtId="4"/>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9975A-04F5-4C52-B5DD-F27FC6E13B4C}" name="pt_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F29" firstHeaderRow="1" firstDataRow="2" firstDataCol="1"/>
  <pivotFields count="9">
    <pivotField axis="axisCol" showAll="0">
      <items count="5">
        <item x="0"/>
        <item x="1"/>
        <item x="2"/>
        <item x="3"/>
        <item t="default"/>
      </items>
    </pivotField>
    <pivotField numFmtId="164" showAll="0"/>
    <pivotField numFmtId="165" showAll="0"/>
    <pivotField dataField="1" numFmtId="2" showAll="0"/>
    <pivotField showAll="0"/>
    <pivotField numFmtId="166" showAll="0"/>
    <pivotField numFmtId="166" showAll="0"/>
    <pivotField axis="axisRow" showAll="0">
      <items count="9">
        <item x="0"/>
        <item x="1"/>
        <item x="2"/>
        <item x="3"/>
        <item x="4"/>
        <item x="5"/>
        <item x="6"/>
        <item x="7"/>
        <item t="default"/>
      </items>
    </pivotField>
    <pivotField dragToRow="0" dragToCol="0" dragToPage="0" showAll="0" defaultSubtotal="0"/>
  </pivotFields>
  <rowFields count="1">
    <field x="7"/>
  </rowFields>
  <rowItems count="9">
    <i>
      <x/>
    </i>
    <i>
      <x v="1"/>
    </i>
    <i>
      <x v="2"/>
    </i>
    <i>
      <x v="3"/>
    </i>
    <i>
      <x v="4"/>
    </i>
    <i>
      <x v="5"/>
    </i>
    <i>
      <x v="6"/>
    </i>
    <i>
      <x v="7"/>
    </i>
    <i t="grand">
      <x/>
    </i>
  </rowItems>
  <colFields count="1">
    <field x="0"/>
  </colFields>
  <colItems count="5">
    <i>
      <x/>
    </i>
    <i>
      <x v="1"/>
    </i>
    <i>
      <x v="2"/>
    </i>
    <i>
      <x v="3"/>
    </i>
    <i t="grand">
      <x/>
    </i>
  </colItems>
  <dataFields count="1">
    <dataField name="Customers" fld="3"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6DEEC-373F-4F73-9BA5-F336E9ED42DE}" name="pt_sp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15" firstHeaderRow="1" firstDataRow="2" firstDataCol="1"/>
  <pivotFields count="9">
    <pivotField axis="axisCol" showAll="0">
      <items count="5">
        <item x="0"/>
        <item x="1"/>
        <item x="2"/>
        <item x="3"/>
        <item t="default"/>
      </items>
    </pivotField>
    <pivotField numFmtId="164" showAll="0"/>
    <pivotField dataField="1" numFmtId="165" showAll="0"/>
    <pivotField numFmtId="2" showAll="0"/>
    <pivotField showAll="0"/>
    <pivotField numFmtId="166" showAll="0"/>
    <pivotField numFmtId="166" showAll="0"/>
    <pivotField axis="axisRow" showAll="0">
      <items count="9">
        <item x="0"/>
        <item x="1"/>
        <item x="2"/>
        <item x="3"/>
        <item x="4"/>
        <item x="5"/>
        <item x="6"/>
        <item x="7"/>
        <item t="default"/>
      </items>
    </pivotField>
    <pivotField dragToRow="0" dragToCol="0" dragToPage="0" showAll="0" defaultSubtotal="0"/>
  </pivotFields>
  <rowFields count="1">
    <field x="7"/>
  </rowFields>
  <rowItems count="9">
    <i>
      <x/>
    </i>
    <i>
      <x v="1"/>
    </i>
    <i>
      <x v="2"/>
    </i>
    <i>
      <x v="3"/>
    </i>
    <i>
      <x v="4"/>
    </i>
    <i>
      <x v="5"/>
    </i>
    <i>
      <x v="6"/>
    </i>
    <i>
      <x v="7"/>
    </i>
    <i t="grand">
      <x/>
    </i>
  </rowItems>
  <colFields count="1">
    <field x="0"/>
  </colFields>
  <colItems count="5">
    <i>
      <x/>
    </i>
    <i>
      <x v="1"/>
    </i>
    <i>
      <x v="2"/>
    </i>
    <i>
      <x v="3"/>
    </i>
    <i t="grand">
      <x/>
    </i>
  </colItems>
  <dataFields count="1">
    <dataField name="Ad spend" fld="2"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8DC09A-E2BB-48D4-87FC-A004F9136AB4}" name="tblAllocation" displayName="tblAllocation" ref="A4:K8" totalsRowShown="0" headerRowDxfId="17" dataDxfId="18" headerRowBorderDxfId="31" tableBorderDxfId="32" totalsRowBorderDxfId="30">
  <autoFilter ref="A4:K8" xr:uid="{AC8DC09A-E2BB-48D4-87FC-A004F9136AB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0ACE40C-34FF-4344-8F5B-3C122A8EB768}" name="Channel" dataDxfId="29"/>
    <tableColumn id="2" xr3:uid="{CFF5D8CE-4F2B-4CBD-81F5-19DB86D32687}" name="Baseline spend, Jul to Sep 2026 (EUR)" dataDxfId="28">
      <calculatedColumnFormula>SUMIFS(Data_Monthly!$C$2:$C$97,Data_Monthly!$A$2:$A$97,A5,Data_Monthly!$E$2:$E$97,1)</calculatedColumnFormula>
    </tableColumn>
    <tableColumn id="3" xr3:uid="{C73D6A21-26F1-455B-B3CE-0C78461D1ADE}" name="Lower limit (EUR)" dataDxfId="27">
      <calculatedColumnFormula>B5*Assumptions!$B$9</calculatedColumnFormula>
    </tableColumn>
    <tableColumn id="4" xr3:uid="{E77E3CCE-452A-4EC3-94FF-A836CDEBA5FC}" name="Upper limit (EUR)" dataDxfId="26">
      <calculatedColumnFormula>B5*IF(A5="referral",Assumptions!$B$11,Assumptions!$B$10)</calculatedColumnFormula>
    </tableColumn>
    <tableColumn id="5" xr3:uid="{8786FC5F-5E15-4932-9660-0500AC9E8F67}" name="Recommended spend (EUR)  &lt;- Solver changes these" dataDxfId="25"/>
    <tableColumn id="6" xr3:uid="{CE1A2D8E-82D2-49DA-B043-CD145336C6EB}" name="Change vs baseline" dataDxfId="24">
      <calculatedColumnFormula>E5/B5-1</calculatedColumnFormula>
    </tableColumn>
    <tableColumn id="7" xr3:uid="{5DB595EB-952F-4BFD-93FA-F986406C4D62}" name="Customers at baseline spend" dataDxfId="23">
      <calculatedColumnFormula>Assumptions!$B$6*Curves!E5*(B5/Assumptions!$B$6)^Curves!C5</calculatedColumnFormula>
    </tableColumn>
    <tableColumn id="8" xr3:uid="{13AC6CD4-6A69-42F1-8D13-BD9DB5A42602}" name="Customers at recommended spend" dataDxfId="22">
      <calculatedColumnFormula>Assumptions!$B$6*Curves!E5*(E5/Assumptions!$B$6)^Curves!C5</calculatedColumnFormula>
    </tableColumn>
    <tableColumn id="9" xr3:uid="{041B4720-C84E-45B9-ADE2-8BEBF0DFCBD0}" name="Net value per customer (EUR)" dataDxfId="21">
      <calculatedColumnFormula>VLOOKUP(A5,Unit_Economics!$A$5:$T$9,20,FALSE)</calculatedColumnFormula>
    </tableColumn>
    <tableColumn id="10" xr3:uid="{66919F9C-3E7B-46B1-9653-A59A09C73B58}" name="Value of customers, baseline (EUR)" dataDxfId="20">
      <calculatedColumnFormula>G5*I5</calculatedColumnFormula>
    </tableColumn>
    <tableColumn id="11" xr3:uid="{FB5F8EA3-E836-4712-A5D0-940FDF8E3D29}" name="Value of customers, recommended (EUR)" dataDxfId="19">
      <calculatedColumnFormula>H5*I5</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37F1CC-31FE-4B5C-A277-85EAD6FD0B38}" name="tblScenarios" displayName="tblScenarios" ref="A4:L12" totalsRowShown="0" headerRowDxfId="0" dataDxfId="1" headerRowBorderDxfId="15" tableBorderDxfId="16" totalsRowBorderDxfId="14">
  <autoFilter ref="A4:L12" xr:uid="{E837F1CC-31FE-4B5C-A277-85EAD6FD0B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79ED11E-2D94-4211-8842-6FBE97A8EE58}" name="Scenario" dataDxfId="13"/>
    <tableColumn id="2" xr3:uid="{B35D69D6-B058-4058-9180-A3A8A4189631}" name="Lever" dataDxfId="12"/>
    <tableColumn id="3" xr3:uid="{C1DD03A6-4712-4A39-BD8E-92B2EA3E2EA0}" name="Budget ceiling (EUR)" dataDxfId="11"/>
    <tableColumn id="4" xr3:uid="{CD80F512-FDFD-43AD-8386-81DB6E731717}" name="affiliate spend (EUR)" dataDxfId="10"/>
    <tableColumn id="5" xr3:uid="{045B13DD-7FAE-49D7-919F-1B6482A85DCC}" name="paid_search spend (EUR)" dataDxfId="9"/>
    <tableColumn id="6" xr3:uid="{837CDB58-80E5-4A80-8446-9BDF569D0A47}" name="paid_social spend (EUR)" dataDxfId="8"/>
    <tableColumn id="7" xr3:uid="{94A228FC-48CE-41E1-9F30-2D3B74A7241B}" name="referral spend (EUR)" dataDxfId="7"/>
    <tableColumn id="8" xr3:uid="{40229F94-C4C0-4AA1-B323-59F713BD5D0D}" name="Total spend (EUR)" dataDxfId="6">
      <calculatedColumnFormula>SUM(D5:G5)</calculatedColumnFormula>
    </tableColumn>
    <tableColumn id="9" xr3:uid="{8A906FA2-888B-466B-8E51-63BEFC57350E}" name="Customers won" dataDxfId="5"/>
    <tableColumn id="10" xr3:uid="{FEB89709-AC45-4A0D-A707-16FD375A5B60}" name="Net profit at recommended spend (EUR)" dataDxfId="4"/>
    <tableColumn id="11" xr3:uid="{1A136D42-B00E-43EF-A368-6196D78A78D0}" name="Net profit at baseline spend (EUR)" dataDxfId="3"/>
    <tableColumn id="12" xr3:uid="{BBB830FB-593F-4760-81CB-B29AFD974D95}" name="Uplift (EUR)" dataDxfId="2">
      <calculatedColumnFormula>J5-K5</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showGridLines="0" tabSelected="1" workbookViewId="0"/>
  </sheetViews>
  <sheetFormatPr defaultRowHeight="14.4" x14ac:dyDescent="0.3"/>
  <cols>
    <col min="1" max="1" width="44" customWidth="1"/>
    <col min="2" max="2" width="16" customWidth="1"/>
    <col min="3" max="3" width="18" customWidth="1"/>
    <col min="4" max="4" width="12" customWidth="1"/>
    <col min="5" max="5" width="20" customWidth="1"/>
    <col min="6" max="6" width="22" customWidth="1"/>
    <col min="7" max="7" width="12" customWidth="1"/>
  </cols>
  <sheetData>
    <row r="1" spans="1:7" ht="17.399999999999999" x14ac:dyDescent="0.3">
      <c r="A1" s="1" t="s">
        <v>0</v>
      </c>
    </row>
    <row r="2" spans="1:7" x14ac:dyDescent="0.3">
      <c r="A2" s="2" t="s">
        <v>1</v>
      </c>
    </row>
    <row r="4" spans="1:7" x14ac:dyDescent="0.3">
      <c r="A4" s="3" t="s">
        <v>2</v>
      </c>
    </row>
    <row r="5" spans="1:7" x14ac:dyDescent="0.3">
      <c r="A5" s="4" t="s">
        <v>3</v>
      </c>
    </row>
    <row r="7" spans="1:7" x14ac:dyDescent="0.3">
      <c r="A7" s="3" t="s">
        <v>4</v>
      </c>
    </row>
    <row r="8" spans="1:7" ht="43.95" customHeight="1" x14ac:dyDescent="0.3">
      <c r="A8" s="5" t="s">
        <v>5</v>
      </c>
      <c r="B8" s="5" t="s">
        <v>6</v>
      </c>
      <c r="C8" s="5" t="s">
        <v>7</v>
      </c>
      <c r="D8" s="5" t="s">
        <v>8</v>
      </c>
      <c r="E8" s="5" t="s">
        <v>9</v>
      </c>
      <c r="F8" s="5" t="s">
        <v>10</v>
      </c>
      <c r="G8" s="5" t="s">
        <v>11</v>
      </c>
    </row>
    <row r="9" spans="1:7" x14ac:dyDescent="0.3">
      <c r="A9" s="6" t="str">
        <f>Optimizer!A5</f>
        <v>affiliate</v>
      </c>
      <c r="B9" s="7">
        <f>Optimizer!B5</f>
        <v>3116.48</v>
      </c>
      <c r="C9" s="8">
        <f>Optimizer!E5</f>
        <v>1558.2399999999998</v>
      </c>
      <c r="D9" s="9">
        <f>Optimizer!F5</f>
        <v>-0.5</v>
      </c>
      <c r="E9" s="10">
        <f>ROUND(C9/100,0)*100</f>
        <v>1600</v>
      </c>
      <c r="F9" s="11">
        <f>VLOOKUP(A9,Unit_Economics!$A$5:$T$9,17,FALSE)</f>
        <v>-490.95000000000005</v>
      </c>
      <c r="G9" s="11">
        <f>VLOOKUP(A9,Unit_Economics!$A$5:$T$9,7,FALSE)</f>
        <v>32.030248226950356</v>
      </c>
    </row>
    <row r="10" spans="1:7" x14ac:dyDescent="0.3">
      <c r="A10" s="6" t="str">
        <f>Optimizer!A6</f>
        <v>paid_search</v>
      </c>
      <c r="B10" s="7">
        <f>Optimizer!B6</f>
        <v>5374.79</v>
      </c>
      <c r="C10" s="8">
        <f>Optimizer!E6</f>
        <v>2687.395</v>
      </c>
      <c r="D10" s="9">
        <f>Optimizer!F6</f>
        <v>-0.5</v>
      </c>
      <c r="E10" s="10">
        <f>ROUND(C10/100,0)*100</f>
        <v>2700</v>
      </c>
      <c r="F10" s="11">
        <f>VLOOKUP(A10,Unit_Economics!$A$5:$T$9,17,FALSE)</f>
        <v>-31.95999999999998</v>
      </c>
      <c r="G10" s="11">
        <f>VLOOKUP(A10,Unit_Economics!$A$5:$T$9,7,FALSE)</f>
        <v>32.942524271844661</v>
      </c>
    </row>
    <row r="11" spans="1:7" x14ac:dyDescent="0.3">
      <c r="A11" s="6" t="str">
        <f>Optimizer!A7</f>
        <v>paid_social</v>
      </c>
      <c r="B11" s="7">
        <f>Optimizer!B7</f>
        <v>19030.080000000002</v>
      </c>
      <c r="C11" s="8">
        <f>Optimizer!E7</f>
        <v>9515.0400000000009</v>
      </c>
      <c r="D11" s="9">
        <f>Optimizer!F7</f>
        <v>-0.5</v>
      </c>
      <c r="E11" s="10">
        <f>ROUND(C11/100,0)*100</f>
        <v>9500</v>
      </c>
      <c r="F11" s="11">
        <f>VLOOKUP(A11,Unit_Economics!$A$5:$T$9,17,FALSE)</f>
        <v>-54.03</v>
      </c>
      <c r="G11" s="11">
        <f>VLOOKUP(A11,Unit_Economics!$A$5:$T$9,7,FALSE)</f>
        <v>65.590489795918373</v>
      </c>
    </row>
    <row r="12" spans="1:7" x14ac:dyDescent="0.3">
      <c r="A12" s="6" t="str">
        <f>Optimizer!A8</f>
        <v>referral</v>
      </c>
      <c r="B12" s="7">
        <f>Optimizer!B8</f>
        <v>1081.3399999999999</v>
      </c>
      <c r="C12" s="8">
        <f>Optimizer!E8</f>
        <v>1297.6079999999999</v>
      </c>
      <c r="D12" s="9">
        <f>Optimizer!F8</f>
        <v>0.19999999999999996</v>
      </c>
      <c r="E12" s="10">
        <f>ROUND(C12/100,0)*100</f>
        <v>1300</v>
      </c>
      <c r="F12" s="11">
        <f>VLOOKUP(A12,Unit_Economics!$A$5:$T$9,17,FALSE)</f>
        <v>54.490000000000009</v>
      </c>
      <c r="G12" s="11">
        <f>VLOOKUP(A12,Unit_Economics!$A$5:$T$9,7,FALSE)</f>
        <v>12.46848518111965</v>
      </c>
    </row>
    <row r="13" spans="1:7" x14ac:dyDescent="0.3">
      <c r="A13" s="12" t="s">
        <v>12</v>
      </c>
      <c r="B13" s="13">
        <f>Optimizer!B9</f>
        <v>28602.690000000002</v>
      </c>
      <c r="C13" s="13">
        <f>Optimizer!E9</f>
        <v>15058.283000000001</v>
      </c>
      <c r="D13" s="14">
        <f>Optimizer!F9</f>
        <v>-0.47353612544834067</v>
      </c>
      <c r="E13" s="13">
        <f>SUM(E9:E12)</f>
        <v>15100</v>
      </c>
      <c r="F13" s="15"/>
      <c r="G13" s="15"/>
    </row>
    <row r="15" spans="1:7" x14ac:dyDescent="0.3">
      <c r="A15" s="3" t="s">
        <v>13</v>
      </c>
    </row>
    <row r="16" spans="1:7" x14ac:dyDescent="0.3">
      <c r="A16" s="15" t="s">
        <v>14</v>
      </c>
      <c r="B16" s="7">
        <f>Optimizer!B13</f>
        <v>-97563.641017886825</v>
      </c>
    </row>
    <row r="17" spans="1:7" x14ac:dyDescent="0.3">
      <c r="A17" s="15" t="s">
        <v>15</v>
      </c>
      <c r="B17" s="7">
        <f>Optimizer!B14</f>
        <v>-56843.210383740414</v>
      </c>
    </row>
    <row r="18" spans="1:7" x14ac:dyDescent="0.3">
      <c r="A18" s="12" t="s">
        <v>16</v>
      </c>
      <c r="B18" s="16">
        <f>Optimizer!B15</f>
        <v>40720.430634146411</v>
      </c>
    </row>
    <row r="20" spans="1:7" x14ac:dyDescent="0.3">
      <c r="A20" s="3" t="s">
        <v>17</v>
      </c>
    </row>
    <row r="21" spans="1:7" ht="31.95" customHeight="1" x14ac:dyDescent="0.3">
      <c r="A21" s="60" t="s">
        <v>18</v>
      </c>
      <c r="B21" s="59"/>
      <c r="C21" s="59"/>
      <c r="D21" s="59"/>
      <c r="E21" s="59"/>
      <c r="F21" s="59"/>
      <c r="G21" s="59"/>
    </row>
    <row r="22" spans="1:7" ht="31.95" customHeight="1" x14ac:dyDescent="0.3">
      <c r="A22" s="60" t="s">
        <v>19</v>
      </c>
      <c r="B22" s="59"/>
      <c r="C22" s="59"/>
      <c r="D22" s="59"/>
      <c r="E22" s="59"/>
      <c r="F22" s="59"/>
      <c r="G22" s="59"/>
    </row>
    <row r="23" spans="1:7" ht="31.95" customHeight="1" x14ac:dyDescent="0.3">
      <c r="A23" s="60" t="s">
        <v>20</v>
      </c>
      <c r="B23" s="59"/>
      <c r="C23" s="59"/>
      <c r="D23" s="59"/>
      <c r="E23" s="59"/>
      <c r="F23" s="59"/>
      <c r="G23" s="59"/>
    </row>
    <row r="24" spans="1:7" ht="31.95" customHeight="1" x14ac:dyDescent="0.3">
      <c r="A24" s="60" t="s">
        <v>21</v>
      </c>
      <c r="B24" s="59"/>
      <c r="C24" s="59"/>
      <c r="D24" s="59"/>
      <c r="E24" s="59"/>
      <c r="F24" s="59"/>
      <c r="G24" s="59"/>
    </row>
    <row r="25" spans="1:7" ht="31.95" customHeight="1" x14ac:dyDescent="0.3">
      <c r="A25" s="60" t="s">
        <v>22</v>
      </c>
      <c r="B25" s="59"/>
      <c r="C25" s="59"/>
      <c r="D25" s="59"/>
      <c r="E25" s="59"/>
      <c r="F25" s="59"/>
      <c r="G25" s="59"/>
    </row>
    <row r="27" spans="1:7" ht="31.95" customHeight="1" x14ac:dyDescent="0.3">
      <c r="A27" s="58" t="s">
        <v>23</v>
      </c>
      <c r="B27" s="59"/>
      <c r="C27" s="59"/>
      <c r="D27" s="59"/>
      <c r="E27" s="59"/>
      <c r="F27" s="59"/>
      <c r="G27" s="59"/>
    </row>
    <row r="29" spans="1:7" x14ac:dyDescent="0.3">
      <c r="A29" s="3" t="s">
        <v>24</v>
      </c>
    </row>
    <row r="30" spans="1:7" x14ac:dyDescent="0.3">
      <c r="A30" s="17" t="s">
        <v>25</v>
      </c>
    </row>
    <row r="31" spans="1:7" x14ac:dyDescent="0.3">
      <c r="A31" s="6" t="s">
        <v>26</v>
      </c>
    </row>
    <row r="32" spans="1:7" x14ac:dyDescent="0.3">
      <c r="A32" s="15" t="s">
        <v>27</v>
      </c>
    </row>
    <row r="33" spans="1:1" x14ac:dyDescent="0.3">
      <c r="A33" s="18" t="s">
        <v>28</v>
      </c>
    </row>
    <row r="35" spans="1:1" x14ac:dyDescent="0.3">
      <c r="A35" s="2" t="s">
        <v>209</v>
      </c>
    </row>
  </sheetData>
  <mergeCells count="6">
    <mergeCell ref="A27:G27"/>
    <mergeCell ref="A21:G21"/>
    <mergeCell ref="A22:G22"/>
    <mergeCell ref="A24:G24"/>
    <mergeCell ref="A25:G25"/>
    <mergeCell ref="A23:G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defaultRowHeight="14.4" x14ac:dyDescent="0.3"/>
  <cols>
    <col min="1" max="1" width="52" customWidth="1"/>
    <col min="2" max="3" width="16" customWidth="1"/>
    <col min="4" max="4" width="80" customWidth="1"/>
  </cols>
  <sheetData>
    <row r="1" spans="1:4" ht="17.399999999999999" x14ac:dyDescent="0.3">
      <c r="A1" s="1" t="s">
        <v>29</v>
      </c>
    </row>
    <row r="2" spans="1:4" x14ac:dyDescent="0.3">
      <c r="A2" s="2" t="s">
        <v>30</v>
      </c>
    </row>
    <row r="4" spans="1:4" ht="22.05" customHeight="1" x14ac:dyDescent="0.3">
      <c r="A4" s="5" t="s">
        <v>31</v>
      </c>
      <c r="B4" s="5" t="s">
        <v>32</v>
      </c>
      <c r="C4" s="5" t="s">
        <v>33</v>
      </c>
      <c r="D4" s="5" t="s">
        <v>34</v>
      </c>
    </row>
    <row r="5" spans="1:4" ht="30" customHeight="1" x14ac:dyDescent="0.3">
      <c r="A5" s="19" t="s">
        <v>35</v>
      </c>
      <c r="B5" s="20">
        <v>2.5</v>
      </c>
      <c r="C5" s="15" t="s">
        <v>36</v>
      </c>
      <c r="D5" s="19" t="s">
        <v>37</v>
      </c>
    </row>
    <row r="6" spans="1:4" ht="30" customHeight="1" x14ac:dyDescent="0.3">
      <c r="A6" s="19" t="s">
        <v>38</v>
      </c>
      <c r="B6" s="21">
        <v>3</v>
      </c>
      <c r="C6" s="15" t="s">
        <v>39</v>
      </c>
      <c r="D6" s="19" t="s">
        <v>40</v>
      </c>
    </row>
    <row r="7" spans="1:4" ht="30" customHeight="1" x14ac:dyDescent="0.3">
      <c r="A7" s="19" t="s">
        <v>41</v>
      </c>
      <c r="B7" s="22">
        <v>1</v>
      </c>
      <c r="C7" s="15" t="s">
        <v>42</v>
      </c>
      <c r="D7" s="19" t="s">
        <v>43</v>
      </c>
    </row>
    <row r="8" spans="1:4" ht="30" customHeight="1" x14ac:dyDescent="0.3">
      <c r="A8" s="19" t="s">
        <v>44</v>
      </c>
      <c r="B8" s="22">
        <v>1</v>
      </c>
      <c r="C8" s="15" t="s">
        <v>42</v>
      </c>
      <c r="D8" s="19" t="s">
        <v>45</v>
      </c>
    </row>
    <row r="9" spans="1:4" ht="30" customHeight="1" x14ac:dyDescent="0.3">
      <c r="A9" s="19" t="s">
        <v>46</v>
      </c>
      <c r="B9" s="23">
        <v>0.5</v>
      </c>
      <c r="C9" s="15" t="s">
        <v>47</v>
      </c>
      <c r="D9" s="19" t="s">
        <v>48</v>
      </c>
    </row>
    <row r="10" spans="1:4" ht="30" customHeight="1" x14ac:dyDescent="0.3">
      <c r="A10" s="19" t="s">
        <v>49</v>
      </c>
      <c r="B10" s="23">
        <v>1.5</v>
      </c>
      <c r="C10" s="15" t="s">
        <v>47</v>
      </c>
      <c r="D10" s="19" t="s">
        <v>50</v>
      </c>
    </row>
    <row r="11" spans="1:4" ht="30" customHeight="1" x14ac:dyDescent="0.3">
      <c r="A11" s="19" t="s">
        <v>51</v>
      </c>
      <c r="B11" s="23">
        <v>1.2</v>
      </c>
      <c r="C11" s="15" t="s">
        <v>47</v>
      </c>
      <c r="D11" s="19" t="s">
        <v>52</v>
      </c>
    </row>
    <row r="12" spans="1:4" ht="43.95" customHeight="1" x14ac:dyDescent="0.3">
      <c r="A12" s="19" t="s">
        <v>53</v>
      </c>
      <c r="B12" s="21">
        <v>1</v>
      </c>
      <c r="C12" s="15" t="s">
        <v>54</v>
      </c>
      <c r="D12" s="19" t="s">
        <v>55</v>
      </c>
    </row>
    <row r="13" spans="1:4" ht="30" customHeight="1" x14ac:dyDescent="0.3">
      <c r="A13" s="19" t="s">
        <v>56</v>
      </c>
      <c r="B13" s="22">
        <v>0.3</v>
      </c>
      <c r="C13" s="15" t="s">
        <v>57</v>
      </c>
      <c r="D13" s="19" t="s">
        <v>58</v>
      </c>
    </row>
    <row r="15" spans="1:4" x14ac:dyDescent="0.3">
      <c r="A15" s="3" t="s">
        <v>59</v>
      </c>
    </row>
    <row r="16" spans="1:4" ht="22.05" customHeight="1" x14ac:dyDescent="0.3">
      <c r="A16" s="5" t="s">
        <v>5</v>
      </c>
      <c r="B16" s="5" t="s">
        <v>60</v>
      </c>
      <c r="C16" s="5" t="s">
        <v>33</v>
      </c>
      <c r="D16" s="5" t="s">
        <v>61</v>
      </c>
    </row>
    <row r="17" spans="1:4" ht="26.4" x14ac:dyDescent="0.3">
      <c r="A17" s="15" t="s">
        <v>62</v>
      </c>
      <c r="B17" s="20">
        <v>0</v>
      </c>
      <c r="C17" s="15" t="s">
        <v>63</v>
      </c>
      <c r="D17" s="19" t="s">
        <v>64</v>
      </c>
    </row>
    <row r="18" spans="1:4" ht="26.4" x14ac:dyDescent="0.3">
      <c r="A18" s="15" t="s">
        <v>65</v>
      </c>
      <c r="B18" s="20">
        <v>0</v>
      </c>
      <c r="C18" s="15" t="s">
        <v>63</v>
      </c>
      <c r="D18" s="19" t="s">
        <v>66</v>
      </c>
    </row>
    <row r="19" spans="1:4" ht="26.4" x14ac:dyDescent="0.3">
      <c r="A19" s="15" t="s">
        <v>67</v>
      </c>
      <c r="B19" s="20">
        <v>0</v>
      </c>
      <c r="C19" s="15" t="s">
        <v>63</v>
      </c>
      <c r="D19" s="19" t="s">
        <v>68</v>
      </c>
    </row>
    <row r="20" spans="1:4" ht="26.4" x14ac:dyDescent="0.3">
      <c r="A20" s="15" t="s">
        <v>69</v>
      </c>
      <c r="B20" s="20">
        <v>0</v>
      </c>
      <c r="C20" s="15" t="s">
        <v>63</v>
      </c>
      <c r="D20" s="19" t="s">
        <v>70</v>
      </c>
    </row>
    <row r="21" spans="1:4" ht="26.4" x14ac:dyDescent="0.3">
      <c r="A21" s="15" t="s">
        <v>71</v>
      </c>
      <c r="B21" s="20">
        <v>0</v>
      </c>
      <c r="C21" s="15" t="s">
        <v>63</v>
      </c>
      <c r="D21" s="19" t="s">
        <v>72</v>
      </c>
    </row>
    <row r="23" spans="1:4" ht="40.049999999999997" customHeight="1" x14ac:dyDescent="0.3">
      <c r="A23" s="58" t="s">
        <v>73</v>
      </c>
      <c r="B23" s="59"/>
      <c r="C23" s="59"/>
      <c r="D23" s="59"/>
    </row>
  </sheetData>
  <mergeCells count="1">
    <mergeCell ref="A23:D2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
  <sheetViews>
    <sheetView workbookViewId="0">
      <pane xSplit="1" ySplit="4" topLeftCell="B5" activePane="bottomRight" state="frozen"/>
      <selection pane="topRight"/>
      <selection pane="bottomLeft"/>
      <selection pane="bottomRight"/>
    </sheetView>
  </sheetViews>
  <sheetFormatPr defaultRowHeight="14.4" x14ac:dyDescent="0.3"/>
  <cols>
    <col min="1" max="1" width="16" customWidth="1"/>
    <col min="2" max="2" width="10" customWidth="1"/>
    <col min="3" max="3" width="12" customWidth="1"/>
    <col min="4" max="8" width="11" customWidth="1"/>
    <col min="9" max="9" width="12" customWidth="1"/>
    <col min="10" max="10" width="14" customWidth="1"/>
    <col min="11" max="11" width="12" customWidth="1"/>
    <col min="12" max="13" width="9" customWidth="1"/>
    <col min="14" max="14" width="10" customWidth="1"/>
    <col min="15" max="16" width="12" customWidth="1"/>
    <col min="17" max="17" width="13" customWidth="1"/>
    <col min="18" max="19" width="12" customWidth="1"/>
    <col min="20" max="20" width="13" customWidth="1"/>
  </cols>
  <sheetData>
    <row r="1" spans="1:20" ht="17.399999999999999" x14ac:dyDescent="0.3">
      <c r="A1" s="1" t="s">
        <v>74</v>
      </c>
    </row>
    <row r="2" spans="1:20" x14ac:dyDescent="0.3">
      <c r="A2" s="2" t="s">
        <v>75</v>
      </c>
    </row>
    <row r="4" spans="1:20" ht="58.05" customHeight="1" x14ac:dyDescent="0.3">
      <c r="A4" s="5" t="s">
        <v>5</v>
      </c>
      <c r="B4" s="5" t="s">
        <v>76</v>
      </c>
      <c r="C4" s="5" t="s">
        <v>77</v>
      </c>
      <c r="D4" s="5" t="s">
        <v>78</v>
      </c>
      <c r="E4" s="5" t="s">
        <v>79</v>
      </c>
      <c r="F4" s="5" t="s">
        <v>80</v>
      </c>
      <c r="G4" s="5" t="s">
        <v>11</v>
      </c>
      <c r="H4" s="5" t="s">
        <v>81</v>
      </c>
      <c r="I4" s="5" t="s">
        <v>82</v>
      </c>
      <c r="J4" s="5" t="s">
        <v>83</v>
      </c>
      <c r="K4" s="5" t="s">
        <v>84</v>
      </c>
      <c r="L4" s="5" t="s">
        <v>85</v>
      </c>
      <c r="M4" s="5" t="s">
        <v>86</v>
      </c>
      <c r="N4" s="5" t="s">
        <v>87</v>
      </c>
      <c r="O4" s="5" t="s">
        <v>88</v>
      </c>
      <c r="P4" s="5" t="s">
        <v>89</v>
      </c>
      <c r="Q4" s="5" t="s">
        <v>90</v>
      </c>
      <c r="R4" s="5" t="s">
        <v>91</v>
      </c>
      <c r="S4" s="5" t="s">
        <v>92</v>
      </c>
      <c r="T4" s="5" t="s">
        <v>93</v>
      </c>
    </row>
    <row r="5" spans="1:20" x14ac:dyDescent="0.3">
      <c r="A5" s="24" t="str">
        <f>Data_Scorecard!A2</f>
        <v>affiliate</v>
      </c>
      <c r="B5" s="25">
        <f>IF(Data_Scorecard!B2&gt;0,1,0)</f>
        <v>1</v>
      </c>
      <c r="C5" s="26">
        <f>Data_Scorecard!B2</f>
        <v>23677.59</v>
      </c>
      <c r="D5" s="27">
        <f>Data_Scorecard!C2</f>
        <v>846</v>
      </c>
      <c r="E5" s="27">
        <f>Data_Scorecard!D2</f>
        <v>1368</v>
      </c>
      <c r="F5" s="28">
        <f>E5*Assumptions!$B$5</f>
        <v>3420</v>
      </c>
      <c r="G5" s="29">
        <f>IF(B5=1,(C5+F5)/D5,"n/a")</f>
        <v>32.030248226950356</v>
      </c>
      <c r="H5" s="29">
        <f>IF(B5=1,C5/D5,"n/a")</f>
        <v>27.987695035460995</v>
      </c>
      <c r="I5" s="27">
        <f>Data_Scorecard!H2</f>
        <v>382</v>
      </c>
      <c r="J5" s="30">
        <f>Data_Scorecard!I2</f>
        <v>251.54</v>
      </c>
      <c r="K5" s="30">
        <f>Data_Scorecard!J2</f>
        <v>321.20999999999998</v>
      </c>
      <c r="L5" s="31">
        <f>IF(B5=1,J5/G5,"n/a")</f>
        <v>7.8532017053915117</v>
      </c>
      <c r="M5" s="31">
        <f>IF(B5=1,K5/H5,"n/a")</f>
        <v>11.476829356366082</v>
      </c>
      <c r="N5" s="25">
        <f>IF(B5=1,IF(COUNTIF(B14:M14,"&lt;"&amp;G5)=12,"not paid back",COUNTIF(B14:M14,"&lt;"&amp;G5)+1),"n/a")</f>
        <v>3</v>
      </c>
      <c r="O5" s="29">
        <f>Data_Scorecard!O2*Assumptions!$B$8</f>
        <v>742.49</v>
      </c>
      <c r="P5" s="30">
        <f>Assumptions!B17</f>
        <v>0</v>
      </c>
      <c r="Q5" s="32">
        <f>J5+P5-O5</f>
        <v>-490.95000000000005</v>
      </c>
      <c r="R5" s="31">
        <f>IF(B5=1,Q5/G5,"n/a")</f>
        <v>-15.327698883922888</v>
      </c>
      <c r="S5" s="29">
        <f>F5/D5</f>
        <v>4.042553191489362</v>
      </c>
      <c r="T5" s="32">
        <f>Q5-S5</f>
        <v>-494.99255319148943</v>
      </c>
    </row>
    <row r="6" spans="1:20" x14ac:dyDescent="0.3">
      <c r="A6" s="24" t="str">
        <f>Data_Scorecard!A3</f>
        <v>organic</v>
      </c>
      <c r="B6" s="25">
        <f>IF(Data_Scorecard!B3&gt;0,1,0)</f>
        <v>0</v>
      </c>
      <c r="C6" s="26">
        <f>Data_Scorecard!B3</f>
        <v>0</v>
      </c>
      <c r="D6" s="27">
        <f>Data_Scorecard!C3</f>
        <v>1401</v>
      </c>
      <c r="E6" s="27">
        <f>Data_Scorecard!D3</f>
        <v>1831</v>
      </c>
      <c r="F6" s="28">
        <f>E6*Assumptions!$B$5</f>
        <v>4577.5</v>
      </c>
      <c r="G6" s="29" t="str">
        <f>IF(B6=1,(C6+F6)/D6,"n/a")</f>
        <v>n/a</v>
      </c>
      <c r="H6" s="29" t="str">
        <f>IF(B6=1,C6/D6,"n/a")</f>
        <v>n/a</v>
      </c>
      <c r="I6" s="27">
        <f>Data_Scorecard!H3</f>
        <v>650</v>
      </c>
      <c r="J6" s="30">
        <f>Data_Scorecard!I3</f>
        <v>167.97</v>
      </c>
      <c r="K6" s="30">
        <f>Data_Scorecard!J3</f>
        <v>217.02</v>
      </c>
      <c r="L6" s="31" t="str">
        <f>IF(B6=1,J6/G6,"n/a")</f>
        <v>n/a</v>
      </c>
      <c r="M6" s="31" t="str">
        <f>IF(B6=1,K6/H6,"n/a")</f>
        <v>n/a</v>
      </c>
      <c r="N6" s="25" t="str">
        <f>IF(B6=1,IF(COUNTIF(B15:M15,"&lt;"&amp;G6)=12,"not paid back",COUNTIF(B15:M15,"&lt;"&amp;G6)+1),"n/a")</f>
        <v>n/a</v>
      </c>
      <c r="O6" s="29">
        <f>Data_Scorecard!O3*Assumptions!$B$8</f>
        <v>196.21</v>
      </c>
      <c r="P6" s="30">
        <f>Assumptions!B18</f>
        <v>0</v>
      </c>
      <c r="Q6" s="32">
        <f>J6+P6-O6</f>
        <v>-28.240000000000009</v>
      </c>
      <c r="R6" s="31" t="str">
        <f>IF(B6=1,Q6/G6,"n/a")</f>
        <v>n/a</v>
      </c>
      <c r="S6" s="29">
        <f>F6/D6</f>
        <v>3.2673090649536047</v>
      </c>
      <c r="T6" s="32">
        <f>Q6-S6</f>
        <v>-31.507309064953613</v>
      </c>
    </row>
    <row r="7" spans="1:20" x14ac:dyDescent="0.3">
      <c r="A7" s="24" t="str">
        <f>Data_Scorecard!A4</f>
        <v>paid_search</v>
      </c>
      <c r="B7" s="25">
        <f>IF(Data_Scorecard!B4&gt;0,1,0)</f>
        <v>1</v>
      </c>
      <c r="C7" s="26">
        <f>Data_Scorecard!B4</f>
        <v>45681.2</v>
      </c>
      <c r="D7" s="27">
        <f>Data_Scorecard!C4</f>
        <v>1545</v>
      </c>
      <c r="E7" s="27">
        <f>Data_Scorecard!D4</f>
        <v>2086</v>
      </c>
      <c r="F7" s="28">
        <f>E7*Assumptions!$B$5</f>
        <v>5215</v>
      </c>
      <c r="G7" s="29">
        <f>IF(B7=1,(C7+F7)/D7,"n/a")</f>
        <v>32.942524271844661</v>
      </c>
      <c r="H7" s="29">
        <f>IF(B7=1,C7/D7,"n/a")</f>
        <v>29.567119741100321</v>
      </c>
      <c r="I7" s="27">
        <f>Data_Scorecard!H4</f>
        <v>719</v>
      </c>
      <c r="J7" s="30">
        <f>Data_Scorecard!I4</f>
        <v>185.36</v>
      </c>
      <c r="K7" s="30">
        <f>Data_Scorecard!J4</f>
        <v>237.31</v>
      </c>
      <c r="L7" s="31">
        <f>IF(B7=1,J7/G7,"n/a")</f>
        <v>5.6267697784903392</v>
      </c>
      <c r="M7" s="31">
        <f>IF(B7=1,K7/H7,"n/a")</f>
        <v>8.0261453289318148</v>
      </c>
      <c r="N7" s="25">
        <f>IF(B7=1,IF(COUNTIF(B16:M16,"&lt;"&amp;G7)=12,"not paid back",COUNTIF(B16:M16,"&lt;"&amp;G7)+1),"n/a")</f>
        <v>4</v>
      </c>
      <c r="O7" s="29">
        <f>Data_Scorecard!O4*Assumptions!$B$8</f>
        <v>217.32</v>
      </c>
      <c r="P7" s="30">
        <f>Assumptions!B19</f>
        <v>0</v>
      </c>
      <c r="Q7" s="32">
        <f>J7+P7-O7</f>
        <v>-31.95999999999998</v>
      </c>
      <c r="R7" s="31">
        <f>IF(B7=1,Q7/G7,"n/a")</f>
        <v>-0.97017459063741429</v>
      </c>
      <c r="S7" s="29">
        <f>F7/D7</f>
        <v>3.3754045307443366</v>
      </c>
      <c r="T7" s="32">
        <f>Q7-S7</f>
        <v>-35.335404530744313</v>
      </c>
    </row>
    <row r="8" spans="1:20" x14ac:dyDescent="0.3">
      <c r="A8" s="24" t="str">
        <f>Data_Scorecard!A5</f>
        <v>paid_social</v>
      </c>
      <c r="B8" s="25">
        <f>IF(Data_Scorecard!B5&gt;0,1,0)</f>
        <v>1</v>
      </c>
      <c r="C8" s="26">
        <f>Data_Scorecard!B5</f>
        <v>73973.350000000006</v>
      </c>
      <c r="D8" s="27">
        <f>Data_Scorecard!C5</f>
        <v>1225</v>
      </c>
      <c r="E8" s="27">
        <f>Data_Scorecard!D5</f>
        <v>2550</v>
      </c>
      <c r="F8" s="28">
        <f>E8*Assumptions!$B$5</f>
        <v>6375</v>
      </c>
      <c r="G8" s="29">
        <f>IF(B8=1,(C8+F8)/D8,"n/a")</f>
        <v>65.590489795918373</v>
      </c>
      <c r="H8" s="29">
        <f>IF(B8=1,C8/D8,"n/a")</f>
        <v>60.386408163265308</v>
      </c>
      <c r="I8" s="27">
        <f>Data_Scorecard!H5</f>
        <v>562</v>
      </c>
      <c r="J8" s="30">
        <f>Data_Scorecard!I5</f>
        <v>171.28</v>
      </c>
      <c r="K8" s="30">
        <f>Data_Scorecard!J5</f>
        <v>216.32</v>
      </c>
      <c r="L8" s="31">
        <f>IF(B8=1,J8/G8,"n/a")</f>
        <v>2.6113541846223347</v>
      </c>
      <c r="M8" s="31">
        <f>IF(B8=1,K8/H8,"n/a")</f>
        <v>3.5822630717684136</v>
      </c>
      <c r="N8" s="25">
        <f>IF(B8=1,IF(COUNTIF(B17:M17,"&lt;"&amp;G8)=12,"not paid back",COUNTIF(B17:M17,"&lt;"&amp;G8)+1),"n/a")</f>
        <v>6</v>
      </c>
      <c r="O8" s="29">
        <f>Data_Scorecard!O5*Assumptions!$B$8</f>
        <v>225.31</v>
      </c>
      <c r="P8" s="30">
        <f>Assumptions!B20</f>
        <v>0</v>
      </c>
      <c r="Q8" s="32">
        <f>J8+P8-O8</f>
        <v>-54.03</v>
      </c>
      <c r="R8" s="31">
        <f>IF(B8=1,Q8/G8,"n/a")</f>
        <v>-0.82374746961200818</v>
      </c>
      <c r="S8" s="29">
        <f>F8/D8</f>
        <v>5.204081632653061</v>
      </c>
      <c r="T8" s="32">
        <f>Q8-S8</f>
        <v>-59.234081632653059</v>
      </c>
    </row>
    <row r="9" spans="1:20" x14ac:dyDescent="0.3">
      <c r="A9" s="24" t="str">
        <f>Data_Scorecard!A6</f>
        <v>referral</v>
      </c>
      <c r="B9" s="25">
        <f>IF(Data_Scorecard!B6&gt;0,1,0)</f>
        <v>1</v>
      </c>
      <c r="C9" s="26">
        <f>Data_Scorecard!B6</f>
        <v>8718.7900000000009</v>
      </c>
      <c r="D9" s="27">
        <f>Data_Scorecard!C6</f>
        <v>911</v>
      </c>
      <c r="E9" s="27">
        <f>Data_Scorecard!D6</f>
        <v>1056</v>
      </c>
      <c r="F9" s="28">
        <f>E9*Assumptions!$B$5</f>
        <v>2640</v>
      </c>
      <c r="G9" s="29">
        <f>IF(B9=1,(C9+F9)/D9,"n/a")</f>
        <v>12.46848518111965</v>
      </c>
      <c r="H9" s="29">
        <f>IF(B9=1,C9/D9,"n/a")</f>
        <v>9.5705708013172348</v>
      </c>
      <c r="I9" s="27">
        <f>Data_Scorecard!H6</f>
        <v>467</v>
      </c>
      <c r="J9" s="30">
        <f>Data_Scorecard!I6</f>
        <v>165.36</v>
      </c>
      <c r="K9" s="30">
        <f>Data_Scorecard!J6</f>
        <v>217.06</v>
      </c>
      <c r="L9" s="31">
        <f>IF(B9=1,J9/G9,"n/a")</f>
        <v>13.262236558647531</v>
      </c>
      <c r="M9" s="31">
        <f>IF(B9=1,K9/H9,"n/a")</f>
        <v>22.679942973738328</v>
      </c>
      <c r="N9" s="25">
        <f>IF(B9=1,IF(COUNTIF(B18:M18,"&lt;"&amp;G9)=12,"not paid back",COUNTIF(B18:M18,"&lt;"&amp;G9)+1),"n/a")</f>
        <v>2</v>
      </c>
      <c r="O9" s="29">
        <f>Data_Scorecard!O6*Assumptions!$B$8</f>
        <v>110.87</v>
      </c>
      <c r="P9" s="30">
        <f>Assumptions!B21</f>
        <v>0</v>
      </c>
      <c r="Q9" s="32">
        <f>J9+P9-O9</f>
        <v>54.490000000000009</v>
      </c>
      <c r="R9" s="31">
        <f>IF(B9=1,Q9/G9,"n/a")</f>
        <v>4.3702181306283503</v>
      </c>
      <c r="S9" s="29">
        <f>F9/D9</f>
        <v>2.897914379802415</v>
      </c>
      <c r="T9" s="32">
        <f>Q9-S9</f>
        <v>51.592085620197594</v>
      </c>
    </row>
    <row r="11" spans="1:20" x14ac:dyDescent="0.3">
      <c r="A11" s="2" t="s">
        <v>94</v>
      </c>
    </row>
    <row r="12" spans="1:20" x14ac:dyDescent="0.3">
      <c r="A12" s="3" t="s">
        <v>95</v>
      </c>
    </row>
    <row r="13" spans="1:20" ht="19.95" customHeight="1" x14ac:dyDescent="0.3">
      <c r="A13" s="5" t="s">
        <v>5</v>
      </c>
      <c r="B13" s="5">
        <v>1</v>
      </c>
      <c r="C13" s="5">
        <v>2</v>
      </c>
      <c r="D13" s="5">
        <v>3</v>
      </c>
      <c r="E13" s="5">
        <v>4</v>
      </c>
      <c r="F13" s="5">
        <v>5</v>
      </c>
      <c r="G13" s="5">
        <v>6</v>
      </c>
      <c r="H13" s="5">
        <v>7</v>
      </c>
      <c r="I13" s="5">
        <v>8</v>
      </c>
      <c r="J13" s="5">
        <v>9</v>
      </c>
      <c r="K13" s="5">
        <v>10</v>
      </c>
      <c r="L13" s="5">
        <v>11</v>
      </c>
      <c r="M13" s="5">
        <v>12</v>
      </c>
    </row>
    <row r="14" spans="1:20" x14ac:dyDescent="0.3">
      <c r="A14" s="15" t="str">
        <f>A5</f>
        <v>affiliate</v>
      </c>
      <c r="B14" s="10">
        <f>SUMIFS(Data_Curve!$D$2:$D$61,Data_Curve!$A$2:$A$61,$A14,Data_Curve!$B$2:$B$61,B$13)</f>
        <v>2.4089</v>
      </c>
      <c r="C14" s="10">
        <f>SUMIFS(Data_Curve!$D$2:$D$61,Data_Curve!$A$2:$A$61,$A14,Data_Curve!$B$2:$B$61,C$13)</f>
        <v>17.526299999999999</v>
      </c>
      <c r="D14" s="10">
        <f>SUMIFS(Data_Curve!$D$2:$D$61,Data_Curve!$A$2:$A$61,$A14,Data_Curve!$B$2:$B$61,D$13)</f>
        <v>42.817</v>
      </c>
      <c r="E14" s="10">
        <f>SUMIFS(Data_Curve!$D$2:$D$61,Data_Curve!$A$2:$A$61,$A14,Data_Curve!$B$2:$B$61,E$13)</f>
        <v>65.381200000000007</v>
      </c>
      <c r="F14" s="10">
        <f>SUMIFS(Data_Curve!$D$2:$D$61,Data_Curve!$A$2:$A$61,$A14,Data_Curve!$B$2:$B$61,F$13)</f>
        <v>98.819299999999998</v>
      </c>
      <c r="G14" s="10">
        <f>SUMIFS(Data_Curve!$D$2:$D$61,Data_Curve!$A$2:$A$61,$A14,Data_Curve!$B$2:$B$61,G$13)</f>
        <v>131.40790000000001</v>
      </c>
      <c r="H14" s="10">
        <f>SUMIFS(Data_Curve!$D$2:$D$61,Data_Curve!$A$2:$A$61,$A14,Data_Curve!$B$2:$B$61,H$13)</f>
        <v>165.16909999999999</v>
      </c>
      <c r="I14" s="10">
        <f>SUMIFS(Data_Curve!$D$2:$D$61,Data_Curve!$A$2:$A$61,$A14,Data_Curve!$B$2:$B$61,I$13)</f>
        <v>189.4622</v>
      </c>
      <c r="J14" s="10">
        <f>SUMIFS(Data_Curve!$D$2:$D$61,Data_Curve!$A$2:$A$61,$A14,Data_Curve!$B$2:$B$61,J$13)</f>
        <v>208.3741</v>
      </c>
      <c r="K14" s="10">
        <f>SUMIFS(Data_Curve!$D$2:$D$61,Data_Curve!$A$2:$A$61,$A14,Data_Curve!$B$2:$B$61,K$13)</f>
        <v>225.60140000000001</v>
      </c>
      <c r="L14" s="10">
        <f>SUMIFS(Data_Curve!$D$2:$D$61,Data_Curve!$A$2:$A$61,$A14,Data_Curve!$B$2:$B$61,L$13)</f>
        <v>237.5729</v>
      </c>
      <c r="M14" s="10">
        <f>SUMIFS(Data_Curve!$D$2:$D$61,Data_Curve!$A$2:$A$61,$A14,Data_Curve!$B$2:$B$61,M$13)</f>
        <v>251.54159999999999</v>
      </c>
    </row>
    <row r="15" spans="1:20" x14ac:dyDescent="0.3">
      <c r="A15" s="15" t="str">
        <f>A6</f>
        <v>organic</v>
      </c>
      <c r="B15" s="10">
        <f>SUMIFS(Data_Curve!$D$2:$D$61,Data_Curve!$A$2:$A$61,$A15,Data_Curve!$B$2:$B$61,B$13)</f>
        <v>1.2565999999999999</v>
      </c>
      <c r="C15" s="10">
        <f>SUMIFS(Data_Curve!$D$2:$D$61,Data_Curve!$A$2:$A$61,$A15,Data_Curve!$B$2:$B$61,C$13)</f>
        <v>13.925700000000001</v>
      </c>
      <c r="D15" s="10">
        <f>SUMIFS(Data_Curve!$D$2:$D$61,Data_Curve!$A$2:$A$61,$A15,Data_Curve!$B$2:$B$61,D$13)</f>
        <v>30.171700000000001</v>
      </c>
      <c r="E15" s="10">
        <f>SUMIFS(Data_Curve!$D$2:$D$61,Data_Curve!$A$2:$A$61,$A15,Data_Curve!$B$2:$B$61,E$13)</f>
        <v>47.657800000000002</v>
      </c>
      <c r="F15" s="10">
        <f>SUMIFS(Data_Curve!$D$2:$D$61,Data_Curve!$A$2:$A$61,$A15,Data_Curve!$B$2:$B$61,F$13)</f>
        <v>67.618700000000004</v>
      </c>
      <c r="G15" s="10">
        <f>SUMIFS(Data_Curve!$D$2:$D$61,Data_Curve!$A$2:$A$61,$A15,Data_Curve!$B$2:$B$61,G$13)</f>
        <v>89.392099999999999</v>
      </c>
      <c r="H15" s="10">
        <f>SUMIFS(Data_Curve!$D$2:$D$61,Data_Curve!$A$2:$A$61,$A15,Data_Curve!$B$2:$B$61,H$13)</f>
        <v>113.1514</v>
      </c>
      <c r="I15" s="10">
        <f>SUMIFS(Data_Curve!$D$2:$D$61,Data_Curve!$A$2:$A$61,$A15,Data_Curve!$B$2:$B$61,I$13)</f>
        <v>128.3168</v>
      </c>
      <c r="J15" s="10">
        <f>SUMIFS(Data_Curve!$D$2:$D$61,Data_Curve!$A$2:$A$61,$A15,Data_Curve!$B$2:$B$61,J$13)</f>
        <v>141.87129999999999</v>
      </c>
      <c r="K15" s="10">
        <f>SUMIFS(Data_Curve!$D$2:$D$61,Data_Curve!$A$2:$A$61,$A15,Data_Curve!$B$2:$B$61,K$13)</f>
        <v>152.3493</v>
      </c>
      <c r="L15" s="10">
        <f>SUMIFS(Data_Curve!$D$2:$D$61,Data_Curve!$A$2:$A$61,$A15,Data_Curve!$B$2:$B$61,L$13)</f>
        <v>161.10730000000001</v>
      </c>
      <c r="M15" s="10">
        <f>SUMIFS(Data_Curve!$D$2:$D$61,Data_Curve!$A$2:$A$61,$A15,Data_Curve!$B$2:$B$61,M$13)</f>
        <v>167.97</v>
      </c>
    </row>
    <row r="16" spans="1:20" x14ac:dyDescent="0.3">
      <c r="A16" s="15" t="str">
        <f>A7</f>
        <v>paid_search</v>
      </c>
      <c r="B16" s="10">
        <f>SUMIFS(Data_Curve!$D$2:$D$61,Data_Curve!$A$2:$A$61,$A16,Data_Curve!$B$2:$B$61,B$13)</f>
        <v>2.528</v>
      </c>
      <c r="C16" s="10">
        <f>SUMIFS(Data_Curve!$D$2:$D$61,Data_Curve!$A$2:$A$61,$A16,Data_Curve!$B$2:$B$61,C$13)</f>
        <v>13.914999999999999</v>
      </c>
      <c r="D16" s="10">
        <f>SUMIFS(Data_Curve!$D$2:$D$61,Data_Curve!$A$2:$A$61,$A16,Data_Curve!$B$2:$B$61,D$13)</f>
        <v>29.570399999999999</v>
      </c>
      <c r="E16" s="10">
        <f>SUMIFS(Data_Curve!$D$2:$D$61,Data_Curve!$A$2:$A$61,$A16,Data_Curve!$B$2:$B$61,E$13)</f>
        <v>47.871200000000002</v>
      </c>
      <c r="F16" s="10">
        <f>SUMIFS(Data_Curve!$D$2:$D$61,Data_Curve!$A$2:$A$61,$A16,Data_Curve!$B$2:$B$61,F$13)</f>
        <v>69.491</v>
      </c>
      <c r="G16" s="10">
        <f>SUMIFS(Data_Curve!$D$2:$D$61,Data_Curve!$A$2:$A$61,$A16,Data_Curve!$B$2:$B$61,G$13)</f>
        <v>95.631799999999998</v>
      </c>
      <c r="H16" s="10">
        <f>SUMIFS(Data_Curve!$D$2:$D$61,Data_Curve!$A$2:$A$61,$A16,Data_Curve!$B$2:$B$61,H$13)</f>
        <v>121.11369999999999</v>
      </c>
      <c r="I16" s="10">
        <f>SUMIFS(Data_Curve!$D$2:$D$61,Data_Curve!$A$2:$A$61,$A16,Data_Curve!$B$2:$B$61,I$13)</f>
        <v>135.18690000000001</v>
      </c>
      <c r="J16" s="10">
        <f>SUMIFS(Data_Curve!$D$2:$D$61,Data_Curve!$A$2:$A$61,$A16,Data_Curve!$B$2:$B$61,J$13)</f>
        <v>148.411</v>
      </c>
      <c r="K16" s="10">
        <f>SUMIFS(Data_Curve!$D$2:$D$61,Data_Curve!$A$2:$A$61,$A16,Data_Curve!$B$2:$B$61,K$13)</f>
        <v>160.22219999999999</v>
      </c>
      <c r="L16" s="10">
        <f>SUMIFS(Data_Curve!$D$2:$D$61,Data_Curve!$A$2:$A$61,$A16,Data_Curve!$B$2:$B$61,L$13)</f>
        <v>169.1412</v>
      </c>
      <c r="M16" s="10">
        <f>SUMIFS(Data_Curve!$D$2:$D$61,Data_Curve!$A$2:$A$61,$A16,Data_Curve!$B$2:$B$61,M$13)</f>
        <v>185.3614</v>
      </c>
    </row>
    <row r="17" spans="1:13" x14ac:dyDescent="0.3">
      <c r="A17" s="15" t="str">
        <f>A8</f>
        <v>paid_social</v>
      </c>
      <c r="B17" s="10">
        <f>SUMIFS(Data_Curve!$D$2:$D$61,Data_Curve!$A$2:$A$61,$A17,Data_Curve!$B$2:$B$61,B$13)</f>
        <v>1.4054</v>
      </c>
      <c r="C17" s="10">
        <f>SUMIFS(Data_Curve!$D$2:$D$61,Data_Curve!$A$2:$A$61,$A17,Data_Curve!$B$2:$B$61,C$13)</f>
        <v>11.942299999999999</v>
      </c>
      <c r="D17" s="10">
        <f>SUMIFS(Data_Curve!$D$2:$D$61,Data_Curve!$A$2:$A$61,$A17,Data_Curve!$B$2:$B$61,D$13)</f>
        <v>27.527799999999999</v>
      </c>
      <c r="E17" s="10">
        <f>SUMIFS(Data_Curve!$D$2:$D$61,Data_Curve!$A$2:$A$61,$A17,Data_Curve!$B$2:$B$61,E$13)</f>
        <v>43.982999999999997</v>
      </c>
      <c r="F17" s="10">
        <f>SUMIFS(Data_Curve!$D$2:$D$61,Data_Curve!$A$2:$A$61,$A17,Data_Curve!$B$2:$B$61,F$13)</f>
        <v>62.242699999999999</v>
      </c>
      <c r="G17" s="10">
        <f>SUMIFS(Data_Curve!$D$2:$D$61,Data_Curve!$A$2:$A$61,$A17,Data_Curve!$B$2:$B$61,G$13)</f>
        <v>83.584299999999999</v>
      </c>
      <c r="H17" s="10">
        <f>SUMIFS(Data_Curve!$D$2:$D$61,Data_Curve!$A$2:$A$61,$A17,Data_Curve!$B$2:$B$61,H$13)</f>
        <v>106.1914</v>
      </c>
      <c r="I17" s="10">
        <f>SUMIFS(Data_Curve!$D$2:$D$61,Data_Curve!$A$2:$A$61,$A17,Data_Curve!$B$2:$B$61,I$13)</f>
        <v>124.4682</v>
      </c>
      <c r="J17" s="10">
        <f>SUMIFS(Data_Curve!$D$2:$D$61,Data_Curve!$A$2:$A$61,$A17,Data_Curve!$B$2:$B$61,J$13)</f>
        <v>140.70429999999999</v>
      </c>
      <c r="K17" s="10">
        <f>SUMIFS(Data_Curve!$D$2:$D$61,Data_Curve!$A$2:$A$61,$A17,Data_Curve!$B$2:$B$61,K$13)</f>
        <v>154.11619999999999</v>
      </c>
      <c r="L17" s="10">
        <f>SUMIFS(Data_Curve!$D$2:$D$61,Data_Curve!$A$2:$A$61,$A17,Data_Curve!$B$2:$B$61,L$13)</f>
        <v>158.99160000000001</v>
      </c>
      <c r="M17" s="10">
        <f>SUMIFS(Data_Curve!$D$2:$D$61,Data_Curve!$A$2:$A$61,$A17,Data_Curve!$B$2:$B$61,M$13)</f>
        <v>171.27959999999999</v>
      </c>
    </row>
    <row r="18" spans="1:13" x14ac:dyDescent="0.3">
      <c r="A18" s="15" t="str">
        <f>A9</f>
        <v>referral</v>
      </c>
      <c r="B18" s="10">
        <f>SUMIFS(Data_Curve!$D$2:$D$61,Data_Curve!$A$2:$A$61,$A18,Data_Curve!$B$2:$B$61,B$13)</f>
        <v>0.98760000000000003</v>
      </c>
      <c r="C18" s="10">
        <f>SUMIFS(Data_Curve!$D$2:$D$61,Data_Curve!$A$2:$A$61,$A18,Data_Curve!$B$2:$B$61,C$13)</f>
        <v>14.2468</v>
      </c>
      <c r="D18" s="10">
        <f>SUMIFS(Data_Curve!$D$2:$D$61,Data_Curve!$A$2:$A$61,$A18,Data_Curve!$B$2:$B$61,D$13)</f>
        <v>29.124400000000001</v>
      </c>
      <c r="E18" s="10">
        <f>SUMIFS(Data_Curve!$D$2:$D$61,Data_Curve!$A$2:$A$61,$A18,Data_Curve!$B$2:$B$61,E$13)</f>
        <v>45.637999999999998</v>
      </c>
      <c r="F18" s="10">
        <f>SUMIFS(Data_Curve!$D$2:$D$61,Data_Curve!$A$2:$A$61,$A18,Data_Curve!$B$2:$B$61,F$13)</f>
        <v>60.3247</v>
      </c>
      <c r="G18" s="10">
        <f>SUMIFS(Data_Curve!$D$2:$D$61,Data_Curve!$A$2:$A$61,$A18,Data_Curve!$B$2:$B$61,G$13)</f>
        <v>82.409199999999998</v>
      </c>
      <c r="H18" s="10">
        <f>SUMIFS(Data_Curve!$D$2:$D$61,Data_Curve!$A$2:$A$61,$A18,Data_Curve!$B$2:$B$61,H$13)</f>
        <v>104.3729</v>
      </c>
      <c r="I18" s="10">
        <f>SUMIFS(Data_Curve!$D$2:$D$61,Data_Curve!$A$2:$A$61,$A18,Data_Curve!$B$2:$B$61,I$13)</f>
        <v>119.5962</v>
      </c>
      <c r="J18" s="10">
        <f>SUMIFS(Data_Curve!$D$2:$D$61,Data_Curve!$A$2:$A$61,$A18,Data_Curve!$B$2:$B$61,J$13)</f>
        <v>134.7122</v>
      </c>
      <c r="K18" s="10">
        <f>SUMIFS(Data_Curve!$D$2:$D$61,Data_Curve!$A$2:$A$61,$A18,Data_Curve!$B$2:$B$61,K$13)</f>
        <v>148.08609999999999</v>
      </c>
      <c r="L18" s="10">
        <f>SUMIFS(Data_Curve!$D$2:$D$61,Data_Curve!$A$2:$A$61,$A18,Data_Curve!$B$2:$B$61,L$13)</f>
        <v>159.2861</v>
      </c>
      <c r="M18" s="10">
        <f>SUMIFS(Data_Curve!$D$2:$D$61,Data_Curve!$A$2:$A$61,$A18,Data_Curve!$B$2:$B$61,M$13)</f>
        <v>165.35929999999999</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workbookViewId="0"/>
  </sheetViews>
  <sheetFormatPr defaultRowHeight="14.4" x14ac:dyDescent="0.3"/>
  <cols>
    <col min="1" max="1" width="16" customWidth="1"/>
    <col min="2" max="2" width="10" customWidth="1"/>
    <col min="3" max="3" width="11" customWidth="1"/>
    <col min="4" max="4" width="12" customWidth="1"/>
    <col min="5" max="5" width="10" customWidth="1"/>
    <col min="6" max="6" width="11" customWidth="1"/>
    <col min="7" max="7" width="12" customWidth="1"/>
    <col min="8" max="8" width="16" customWidth="1"/>
    <col min="9" max="9" width="20" customWidth="1"/>
    <col min="10" max="10" width="22" customWidth="1"/>
  </cols>
  <sheetData>
    <row r="1" spans="1:10" ht="17.399999999999999" x14ac:dyDescent="0.3">
      <c r="A1" s="1" t="s">
        <v>96</v>
      </c>
    </row>
    <row r="2" spans="1:10" x14ac:dyDescent="0.3">
      <c r="A2" s="2" t="s">
        <v>97</v>
      </c>
    </row>
    <row r="4" spans="1:10" ht="58.05" customHeight="1" x14ac:dyDescent="0.3">
      <c r="A4" s="5" t="s">
        <v>5</v>
      </c>
      <c r="B4" s="5" t="s">
        <v>98</v>
      </c>
      <c r="C4" s="5" t="s">
        <v>99</v>
      </c>
      <c r="D4" s="5" t="s">
        <v>100</v>
      </c>
      <c r="E4" s="5" t="s">
        <v>101</v>
      </c>
      <c r="F4" s="5" t="s">
        <v>57</v>
      </c>
      <c r="G4" s="5" t="s">
        <v>102</v>
      </c>
      <c r="H4" s="5" t="s">
        <v>103</v>
      </c>
      <c r="I4" s="5" t="s">
        <v>104</v>
      </c>
      <c r="J4" s="5" t="s">
        <v>105</v>
      </c>
    </row>
    <row r="5" spans="1:10" x14ac:dyDescent="0.3">
      <c r="A5" s="15" t="s">
        <v>62</v>
      </c>
      <c r="B5" s="33">
        <f>COUNT(Data_Monthly!$G$2:$G$25)</f>
        <v>24</v>
      </c>
      <c r="C5" s="34">
        <f>INDEX(LINEST(Data_Monthly!$G$2:$G$25,Data_Monthly!$F$2:$F$25),1,1)</f>
        <v>0.64074556028000595</v>
      </c>
      <c r="D5" s="34">
        <f>INDEX(LINEST(Data_Monthly!$G$2:$G$25,Data_Monthly!$F$2:$F$25),1,2)</f>
        <v>-0.8698181123830282</v>
      </c>
      <c r="E5" s="35">
        <f>EXP(D5)</f>
        <v>0.41902775827708755</v>
      </c>
      <c r="F5" s="36">
        <f>RSQ(Data_Monthly!$G$2:$G$25,Data_Monthly!$F$2:$F$25)</f>
        <v>0.34174201998733839</v>
      </c>
      <c r="G5" s="15" t="str">
        <f>IF(F5&lt;Assumptions!$B$13,"weak fit","ok")</f>
        <v>ok</v>
      </c>
      <c r="H5" s="10">
        <f>SUMIFS(Data_Monthly!$C$2:$C$97,Data_Monthly!$A$2:$A$97,A5,Data_Monthly!$E$2:$E$97,1)/Assumptions!$B$6</f>
        <v>1038.8266666666666</v>
      </c>
      <c r="I5" s="37">
        <f>E5*H5^C5</f>
        <v>35.898754863691167</v>
      </c>
      <c r="J5" s="37">
        <f>AVERAGEIFS(Data_Monthly!$D$2:$D$97,Data_Monthly!$A$2:$A$97,A5,Data_Monthly!$E$2:$E$97,1)</f>
        <v>38.513333333333328</v>
      </c>
    </row>
    <row r="6" spans="1:10" x14ac:dyDescent="0.3">
      <c r="A6" s="15" t="s">
        <v>67</v>
      </c>
      <c r="B6" s="33">
        <f>COUNT(Data_Monthly!$G$26:$G$49)</f>
        <v>24</v>
      </c>
      <c r="C6" s="34">
        <f>INDEX(LINEST(Data_Monthly!$G$26:$G$49,Data_Monthly!$F$26:$F$49),1,1)</f>
        <v>0.69134008944490322</v>
      </c>
      <c r="D6" s="34">
        <f>INDEX(LINEST(Data_Monthly!$G$26:$G$49,Data_Monthly!$F$26:$F$49),1,2)</f>
        <v>-0.85181065756392815</v>
      </c>
      <c r="E6" s="35">
        <f>EXP(D6)</f>
        <v>0.42664173008240569</v>
      </c>
      <c r="F6" s="36">
        <f>RSQ(Data_Monthly!$G$26:$G$49,Data_Monthly!$F$26:$F$49)</f>
        <v>0.70039214175431563</v>
      </c>
      <c r="G6" s="15" t="str">
        <f>IF(F6&lt;Assumptions!$B$13,"weak fit","ok")</f>
        <v>ok</v>
      </c>
      <c r="H6" s="10">
        <f>SUMIFS(Data_Monthly!$C$2:$C$97,Data_Monthly!$A$2:$A$97,A6,Data_Monthly!$E$2:$E$97,1)/Assumptions!$B$6</f>
        <v>1791.5966666666666</v>
      </c>
      <c r="I6" s="37">
        <f>E6*H6^C6</f>
        <v>75.710956738323915</v>
      </c>
      <c r="J6" s="37">
        <f>AVERAGEIFS(Data_Monthly!$D$2:$D$97,Data_Monthly!$A$2:$A$97,A6,Data_Monthly!$E$2:$E$97,1)</f>
        <v>74.043333333333337</v>
      </c>
    </row>
    <row r="7" spans="1:10" x14ac:dyDescent="0.3">
      <c r="A7" s="15" t="s">
        <v>69</v>
      </c>
      <c r="B7" s="33">
        <f>IF(Assumptions!$B$12=1,COUNT(Data_Monthly!$G$50:$G$69),COUNT(Data_Monthly!$G$50:$G$73))</f>
        <v>20</v>
      </c>
      <c r="C7" s="34">
        <f>IF(Assumptions!$B$12=1,INDEX(LINEST(Data_Monthly!$G$50:$G$69,Data_Monthly!$F$50:$F$69),1,1),INDEX(LINEST(Data_Monthly!$G$50:$G$73,Data_Monthly!$F$50:$F$73),1,1))</f>
        <v>0.61630236937153415</v>
      </c>
      <c r="D7" s="34">
        <f>IF(Assumptions!$B$12=1,INDEX(LINEST(Data_Monthly!$G$50:$G$69,Data_Monthly!$F$50:$F$69),1,2),INDEX(LINEST(Data_Monthly!$G$50:$G$73,Data_Monthly!$F$50:$F$73),1,2))</f>
        <v>-1.0916051218484784</v>
      </c>
      <c r="E7" s="35">
        <f>EXP(D7)</f>
        <v>0.33567725815202565</v>
      </c>
      <c r="F7" s="36">
        <f>IF(Assumptions!$B$12=1,RSQ(Data_Monthly!$G$50:$G$69,Data_Monthly!$F$50:$F$69),RSQ(Data_Monthly!$G$50:$G$73,Data_Monthly!$F$50:$F$73))</f>
        <v>0.54617888383971414</v>
      </c>
      <c r="G7" s="15" t="str">
        <f>IF(F7&lt;Assumptions!$B$13,"weak fit","ok")</f>
        <v>ok</v>
      </c>
      <c r="H7" s="10">
        <f>SUMIFS(Data_Monthly!$C$2:$C$97,Data_Monthly!$A$2:$A$97,A7,Data_Monthly!$E$2:$E$97,1)/Assumptions!$B$6</f>
        <v>6343.3600000000006</v>
      </c>
      <c r="I7" s="37">
        <f>E7*H7^C7</f>
        <v>74.011694822501724</v>
      </c>
      <c r="J7" s="37">
        <f>AVERAGEIFS(Data_Monthly!$D$2:$D$97,Data_Monthly!$A$2:$A$97,A7,Data_Monthly!$E$2:$E$97,1)</f>
        <v>40.143333333333338</v>
      </c>
    </row>
    <row r="8" spans="1:10" x14ac:dyDescent="0.3">
      <c r="A8" s="15" t="s">
        <v>71</v>
      </c>
      <c r="B8" s="33">
        <f>COUNT(Data_Monthly!$G$74:$G$97)</f>
        <v>24</v>
      </c>
      <c r="C8" s="34">
        <f>INDEX(LINEST(Data_Monthly!$G$74:$G$97,Data_Monthly!$F$74:$F$97),1,1)</f>
        <v>0.41142656193290006</v>
      </c>
      <c r="D8" s="34">
        <f>INDEX(LINEST(Data_Monthly!$G$74:$G$97,Data_Monthly!$F$74:$F$97),1,2)</f>
        <v>1.1529883587566498</v>
      </c>
      <c r="E8" s="35">
        <f>EXP(D8)</f>
        <v>3.1676448389704084</v>
      </c>
      <c r="F8" s="36">
        <f>RSQ(Data_Monthly!$G$74:$G$97,Data_Monthly!$F$74:$F$97)</f>
        <v>0.25100500139296927</v>
      </c>
      <c r="G8" s="15" t="str">
        <f>IF(F8&lt;Assumptions!$B$13,"weak fit","ok")</f>
        <v>weak fit</v>
      </c>
      <c r="H8" s="10">
        <f>SUMIFS(Data_Monthly!$C$2:$C$97,Data_Monthly!$A$2:$A$97,A8,Data_Monthly!$E$2:$E$97,1)/Assumptions!$B$6</f>
        <v>360.44666666666666</v>
      </c>
      <c r="I8" s="37">
        <f>E8*H8^C8</f>
        <v>35.70169122353316</v>
      </c>
      <c r="J8" s="37">
        <f>AVERAGEIFS(Data_Monthly!$D$2:$D$97,Data_Monthly!$A$2:$A$97,A8,Data_Monthly!$E$2:$E$97,1)</f>
        <v>36.379999999999995</v>
      </c>
    </row>
    <row r="10" spans="1:10" ht="49.95" customHeight="1" x14ac:dyDescent="0.3">
      <c r="A10" s="58" t="s">
        <v>106</v>
      </c>
      <c r="B10" s="59"/>
      <c r="C10" s="59"/>
      <c r="D10" s="59"/>
      <c r="E10" s="59"/>
      <c r="F10" s="59"/>
      <c r="G10" s="59"/>
      <c r="H10" s="59"/>
      <c r="I10" s="59"/>
      <c r="J10" s="59"/>
    </row>
  </sheetData>
  <mergeCells count="1">
    <mergeCell ref="A10:J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9"/>
  <sheetViews>
    <sheetView workbookViewId="0"/>
  </sheetViews>
  <sheetFormatPr defaultRowHeight="14.4" x14ac:dyDescent="0.3"/>
  <cols>
    <col min="1" max="1" width="44" customWidth="1"/>
    <col min="2" max="2" width="36.33203125" customWidth="1"/>
    <col min="3" max="3" width="18.21875" customWidth="1"/>
    <col min="4" max="4" width="18.109375" customWidth="1"/>
    <col min="5" max="5" width="49.6640625" customWidth="1"/>
    <col min="6" max="6" width="19.77734375" customWidth="1"/>
    <col min="7" max="7" width="28.21875" customWidth="1"/>
    <col min="8" max="8" width="33.44140625" customWidth="1"/>
    <col min="9" max="9" width="29" customWidth="1"/>
    <col min="10" max="10" width="33.6640625" customWidth="1"/>
    <col min="11" max="11" width="38.88671875" customWidth="1"/>
  </cols>
  <sheetData>
    <row r="1" spans="1:11" ht="17.399999999999999" x14ac:dyDescent="0.3">
      <c r="A1" s="1" t="s">
        <v>107</v>
      </c>
    </row>
    <row r="2" spans="1:11" x14ac:dyDescent="0.3">
      <c r="A2" s="2" t="s">
        <v>108</v>
      </c>
    </row>
    <row r="4" spans="1:11" ht="58.05" customHeight="1" x14ac:dyDescent="0.3">
      <c r="A4" s="63" t="s">
        <v>5</v>
      </c>
      <c r="B4" s="64" t="s">
        <v>109</v>
      </c>
      <c r="C4" s="64" t="s">
        <v>110</v>
      </c>
      <c r="D4" s="64" t="s">
        <v>111</v>
      </c>
      <c r="E4" s="64" t="s">
        <v>112</v>
      </c>
      <c r="F4" s="64" t="s">
        <v>113</v>
      </c>
      <c r="G4" s="64" t="s">
        <v>114</v>
      </c>
      <c r="H4" s="64" t="s">
        <v>115</v>
      </c>
      <c r="I4" s="64" t="s">
        <v>93</v>
      </c>
      <c r="J4" s="64" t="s">
        <v>116</v>
      </c>
      <c r="K4" s="65" t="s">
        <v>117</v>
      </c>
    </row>
    <row r="5" spans="1:11" x14ac:dyDescent="0.3">
      <c r="A5" s="61" t="s">
        <v>62</v>
      </c>
      <c r="B5" s="10">
        <f>SUMIFS(Data_Monthly!$C$2:$C$97,Data_Monthly!$A$2:$A$97,A5,Data_Monthly!$E$2:$E$97,1)</f>
        <v>3116.48</v>
      </c>
      <c r="C5" s="10">
        <f>B5*Assumptions!$B$9</f>
        <v>1558.24</v>
      </c>
      <c r="D5" s="10">
        <f>B5*IF(A5="referral",Assumptions!$B$11,Assumptions!$B$10)</f>
        <v>4674.72</v>
      </c>
      <c r="E5" s="38">
        <v>1558.2399999999998</v>
      </c>
      <c r="F5" s="39">
        <f>E5/B5-1</f>
        <v>-0.5</v>
      </c>
      <c r="G5" s="37">
        <f>Assumptions!$B$6*Curves!E5*(B5/Assumptions!$B$6)^Curves!C5</f>
        <v>107.6962645910735</v>
      </c>
      <c r="H5" s="37">
        <f>Assumptions!$B$6*Curves!E5*(E5/Assumptions!$B$6)^Curves!C5</f>
        <v>69.074381831550355</v>
      </c>
      <c r="I5" s="11">
        <f>VLOOKUP(A5,Unit_Economics!$A$5:$T$9,20,FALSE)</f>
        <v>-494.99255319148943</v>
      </c>
      <c r="J5" s="10">
        <f>G5*I5</f>
        <v>-53308.848979121671</v>
      </c>
      <c r="K5" s="62">
        <f>H5*I5</f>
        <v>-34191.304622922937</v>
      </c>
    </row>
    <row r="6" spans="1:11" x14ac:dyDescent="0.3">
      <c r="A6" s="61" t="s">
        <v>67</v>
      </c>
      <c r="B6" s="10">
        <f>SUMIFS(Data_Monthly!$C$2:$C$97,Data_Monthly!$A$2:$A$97,A6,Data_Monthly!$E$2:$E$97,1)</f>
        <v>5374.79</v>
      </c>
      <c r="C6" s="10">
        <f>B6*Assumptions!$B$9</f>
        <v>2687.395</v>
      </c>
      <c r="D6" s="10">
        <f>B6*IF(A6="referral",Assumptions!$B$11,Assumptions!$B$10)</f>
        <v>8062.1849999999995</v>
      </c>
      <c r="E6" s="38">
        <v>2687.395</v>
      </c>
      <c r="F6" s="39">
        <f>E6/B6-1</f>
        <v>-0.5</v>
      </c>
      <c r="G6" s="37">
        <f>Assumptions!$B$6*Curves!E6*(B6/Assumptions!$B$6)^Curves!C6</f>
        <v>227.13287021497175</v>
      </c>
      <c r="H6" s="37">
        <f>Assumptions!$B$6*Curves!E6*(E6/Assumptions!$B$6)^Curves!C6</f>
        <v>140.65846862866036</v>
      </c>
      <c r="I6" s="11">
        <f>VLOOKUP(A6,Unit_Economics!$A$5:$T$9,20,FALSE)</f>
        <v>-35.335404530744313</v>
      </c>
      <c r="J6" s="10">
        <f>G6*I6</f>
        <v>-8025.8318512750729</v>
      </c>
      <c r="K6" s="62">
        <f>H6*I6</f>
        <v>-4970.2238896687222</v>
      </c>
    </row>
    <row r="7" spans="1:11" x14ac:dyDescent="0.3">
      <c r="A7" s="61" t="s">
        <v>69</v>
      </c>
      <c r="B7" s="10">
        <f>SUMIFS(Data_Monthly!$C$2:$C$97,Data_Monthly!$A$2:$A$97,A7,Data_Monthly!$E$2:$E$97,1)</f>
        <v>19030.080000000002</v>
      </c>
      <c r="C7" s="10">
        <f>B7*Assumptions!$B$9</f>
        <v>9515.0400000000009</v>
      </c>
      <c r="D7" s="10">
        <f>B7*IF(A7="referral",Assumptions!$B$11,Assumptions!$B$10)</f>
        <v>28545.120000000003</v>
      </c>
      <c r="E7" s="38">
        <v>9515.0400000000009</v>
      </c>
      <c r="F7" s="39">
        <f>E7/B7-1</f>
        <v>-0.5</v>
      </c>
      <c r="G7" s="37">
        <f>Assumptions!$B$6*Curves!E7*(B7/Assumptions!$B$6)^Curves!C7</f>
        <v>222.03508446750521</v>
      </c>
      <c r="H7" s="37">
        <f>Assumptions!$B$6*Curves!E7*(E7/Assumptions!$B$6)^Curves!C7</f>
        <v>144.84253080096548</v>
      </c>
      <c r="I7" s="11">
        <f>VLOOKUP(A7,Unit_Economics!$A$5:$T$9,20,FALSE)</f>
        <v>-59.234081632653059</v>
      </c>
      <c r="J7" s="10">
        <f>G7*I7</f>
        <v>-13152.044318661221</v>
      </c>
      <c r="K7" s="62">
        <f>H7*I7</f>
        <v>-8579.6142933444535</v>
      </c>
    </row>
    <row r="8" spans="1:11" x14ac:dyDescent="0.3">
      <c r="A8" s="66" t="s">
        <v>71</v>
      </c>
      <c r="B8" s="67">
        <f>SUMIFS(Data_Monthly!$C$2:$C$97,Data_Monthly!$A$2:$A$97,A8,Data_Monthly!$E$2:$E$97,1)</f>
        <v>1081.3399999999999</v>
      </c>
      <c r="C8" s="67">
        <f>B8*Assumptions!$B$9</f>
        <v>540.66999999999996</v>
      </c>
      <c r="D8" s="67">
        <f>B8*IF(A8="referral",Assumptions!$B$11,Assumptions!$B$10)</f>
        <v>1297.6079999999999</v>
      </c>
      <c r="E8" s="68">
        <v>1297.6079999999999</v>
      </c>
      <c r="F8" s="69">
        <f>E8/B8-1</f>
        <v>0.19999999999999996</v>
      </c>
      <c r="G8" s="70">
        <f>Assumptions!$B$6*Curves!E8*(B8/Assumptions!$B$6)^Curves!C8</f>
        <v>107.10507367059948</v>
      </c>
      <c r="H8" s="70">
        <f>Assumptions!$B$6*Curves!E8*(E8/Assumptions!$B$6)^Curves!C8</f>
        <v>115.44823882568373</v>
      </c>
      <c r="I8" s="71">
        <f>VLOOKUP(A8,Unit_Economics!$A$5:$T$9,20,FALSE)</f>
        <v>51.592085620197594</v>
      </c>
      <c r="J8" s="67">
        <f>G8*I8</f>
        <v>5525.7741311711397</v>
      </c>
      <c r="K8" s="72">
        <f>H8*I8</f>
        <v>5956.2154221956953</v>
      </c>
    </row>
    <row r="9" spans="1:11" x14ac:dyDescent="0.3">
      <c r="A9" s="12" t="s">
        <v>12</v>
      </c>
      <c r="B9" s="13">
        <f>SUM(B5:B8)</f>
        <v>28602.690000000002</v>
      </c>
      <c r="C9" s="15"/>
      <c r="D9" s="15"/>
      <c r="E9" s="13">
        <f>SUM(E5:E8)</f>
        <v>15058.283000000001</v>
      </c>
      <c r="F9" s="14">
        <f>E9/B9-1</f>
        <v>-0.47353612544834067</v>
      </c>
      <c r="G9" s="40">
        <f>SUM(G5:G8)</f>
        <v>663.96929294414997</v>
      </c>
      <c r="H9" s="40">
        <f>SUM(H5:H8)</f>
        <v>470.02362008685992</v>
      </c>
      <c r="I9" s="15"/>
      <c r="J9" s="13">
        <f>SUM(J5:J8)</f>
        <v>-68960.951017886822</v>
      </c>
      <c r="K9" s="13">
        <f>SUM(K5:K8)</f>
        <v>-41784.927383740411</v>
      </c>
    </row>
    <row r="11" spans="1:11" x14ac:dyDescent="0.3">
      <c r="A11" s="19" t="s">
        <v>118</v>
      </c>
      <c r="B11" s="10">
        <f>B9*Assumptions!B7</f>
        <v>28602.690000000002</v>
      </c>
    </row>
    <row r="12" spans="1:11" x14ac:dyDescent="0.3">
      <c r="A12" s="19" t="s">
        <v>119</v>
      </c>
      <c r="B12" s="10">
        <f>E9</f>
        <v>15058.283000000001</v>
      </c>
    </row>
    <row r="13" spans="1:11" x14ac:dyDescent="0.3">
      <c r="A13" s="19" t="s">
        <v>120</v>
      </c>
      <c r="B13" s="10">
        <f>J9-B9</f>
        <v>-97563.641017886825</v>
      </c>
    </row>
    <row r="14" spans="1:11" ht="26.4" x14ac:dyDescent="0.3">
      <c r="A14" s="41" t="s">
        <v>121</v>
      </c>
      <c r="B14" s="16">
        <f>K9-E9</f>
        <v>-56843.210383740414</v>
      </c>
    </row>
    <row r="15" spans="1:11" x14ac:dyDescent="0.3">
      <c r="A15" s="41" t="s">
        <v>122</v>
      </c>
      <c r="B15" s="13">
        <f>B14-B13</f>
        <v>40720.430634146411</v>
      </c>
    </row>
    <row r="16" spans="1:11" x14ac:dyDescent="0.3">
      <c r="A16" s="19" t="s">
        <v>123</v>
      </c>
      <c r="B16" s="15" t="str">
        <f>IF(E9&lt;=B11+0.005,"OK","OVER BUDGET")</f>
        <v>OK</v>
      </c>
    </row>
    <row r="17" spans="1:11" x14ac:dyDescent="0.3">
      <c r="A17" s="19" t="s">
        <v>124</v>
      </c>
      <c r="B17" s="15" t="str">
        <f>IF(SUMPRODUCT((E5:E8&lt;C5:C8-0.005)+(E5:E8&gt;D5:D8+0.005))=0,"OK","OUTSIDE LIMITS")</f>
        <v>OK</v>
      </c>
    </row>
    <row r="19" spans="1:11" ht="55.05" customHeight="1" x14ac:dyDescent="0.3">
      <c r="A19" s="58" t="s">
        <v>125</v>
      </c>
      <c r="B19" s="59"/>
      <c r="C19" s="59"/>
      <c r="D19" s="59"/>
      <c r="E19" s="59"/>
      <c r="F19" s="59"/>
      <c r="G19" s="59"/>
      <c r="H19" s="59"/>
      <c r="I19" s="59"/>
      <c r="J19" s="59"/>
      <c r="K19" s="59"/>
    </row>
  </sheetData>
  <mergeCells count="1">
    <mergeCell ref="A19:K19"/>
  </mergeCells>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
  <sheetViews>
    <sheetView workbookViewId="0"/>
  </sheetViews>
  <sheetFormatPr defaultRowHeight="14.4" x14ac:dyDescent="0.3"/>
  <cols>
    <col min="1" max="1" width="36" customWidth="1"/>
    <col min="2" max="2" width="32" customWidth="1"/>
    <col min="3" max="3" width="21.109375" customWidth="1"/>
    <col min="4" max="4" width="20.6640625" customWidth="1"/>
    <col min="5" max="5" width="25.109375" customWidth="1"/>
    <col min="6" max="6" width="24.21875" customWidth="1"/>
    <col min="7" max="7" width="20.88671875" customWidth="1"/>
    <col min="8" max="8" width="18.88671875" customWidth="1"/>
    <col min="9" max="9" width="16.6640625" customWidth="1"/>
    <col min="10" max="10" width="37.88671875" customWidth="1"/>
    <col min="11" max="11" width="32.6640625" customWidth="1"/>
    <col min="12" max="12" width="13.21875" customWidth="1"/>
  </cols>
  <sheetData>
    <row r="1" spans="1:12" ht="17.399999999999999" x14ac:dyDescent="0.3">
      <c r="A1" s="1" t="s">
        <v>126</v>
      </c>
    </row>
    <row r="2" spans="1:12" x14ac:dyDescent="0.3">
      <c r="A2" s="2" t="s">
        <v>127</v>
      </c>
    </row>
    <row r="4" spans="1:12" ht="58.05" customHeight="1" x14ac:dyDescent="0.3">
      <c r="A4" s="63" t="s">
        <v>128</v>
      </c>
      <c r="B4" s="64" t="s">
        <v>129</v>
      </c>
      <c r="C4" s="64" t="s">
        <v>118</v>
      </c>
      <c r="D4" s="64" t="s">
        <v>130</v>
      </c>
      <c r="E4" s="64" t="s">
        <v>131</v>
      </c>
      <c r="F4" s="64" t="s">
        <v>132</v>
      </c>
      <c r="G4" s="64" t="s">
        <v>133</v>
      </c>
      <c r="H4" s="64" t="s">
        <v>134</v>
      </c>
      <c r="I4" s="64" t="s">
        <v>135</v>
      </c>
      <c r="J4" s="64" t="s">
        <v>136</v>
      </c>
      <c r="K4" s="64" t="s">
        <v>120</v>
      </c>
      <c r="L4" s="65" t="s">
        <v>137</v>
      </c>
    </row>
    <row r="5" spans="1:12" ht="30" customHeight="1" x14ac:dyDescent="0.3">
      <c r="A5" s="73" t="s">
        <v>138</v>
      </c>
      <c r="B5" s="19" t="s">
        <v>139</v>
      </c>
      <c r="C5" s="10">
        <v>28603</v>
      </c>
      <c r="D5" s="10">
        <v>1558</v>
      </c>
      <c r="E5" s="10">
        <v>2687</v>
      </c>
      <c r="F5" s="10">
        <v>9515</v>
      </c>
      <c r="G5" s="10">
        <v>1298</v>
      </c>
      <c r="H5" s="10">
        <f t="shared" ref="H5:H12" si="0">SUM(D5:G5)</f>
        <v>15058</v>
      </c>
      <c r="I5" s="42">
        <v>470</v>
      </c>
      <c r="J5" s="10">
        <v>-56843.21</v>
      </c>
      <c r="K5" s="10">
        <v>-97563.64</v>
      </c>
      <c r="L5" s="74">
        <f t="shared" ref="L5:L12" si="1">J5-K5</f>
        <v>40720.43</v>
      </c>
    </row>
    <row r="6" spans="1:12" ht="30" customHeight="1" x14ac:dyDescent="0.3">
      <c r="A6" s="73" t="s">
        <v>140</v>
      </c>
      <c r="B6" s="19" t="s">
        <v>141</v>
      </c>
      <c r="C6" s="10">
        <v>22882</v>
      </c>
      <c r="D6" s="10">
        <v>1558</v>
      </c>
      <c r="E6" s="10">
        <v>2687</v>
      </c>
      <c r="F6" s="10">
        <v>9515</v>
      </c>
      <c r="G6" s="10">
        <v>1298</v>
      </c>
      <c r="H6" s="10">
        <f t="shared" si="0"/>
        <v>15058</v>
      </c>
      <c r="I6" s="42">
        <v>470</v>
      </c>
      <c r="J6" s="10">
        <v>-56843.21</v>
      </c>
      <c r="K6" s="10">
        <v>-97563.64</v>
      </c>
      <c r="L6" s="74">
        <f t="shared" si="1"/>
        <v>40720.43</v>
      </c>
    </row>
    <row r="7" spans="1:12" ht="30" customHeight="1" x14ac:dyDescent="0.3">
      <c r="A7" s="73" t="s">
        <v>142</v>
      </c>
      <c r="B7" s="19" t="s">
        <v>143</v>
      </c>
      <c r="C7" s="10">
        <v>34323</v>
      </c>
      <c r="D7" s="10">
        <v>1558</v>
      </c>
      <c r="E7" s="10">
        <v>2687</v>
      </c>
      <c r="F7" s="10">
        <v>9515</v>
      </c>
      <c r="G7" s="10">
        <v>1298</v>
      </c>
      <c r="H7" s="10">
        <f t="shared" si="0"/>
        <v>15058</v>
      </c>
      <c r="I7" s="42">
        <v>470</v>
      </c>
      <c r="J7" s="10">
        <v>-56843.21</v>
      </c>
      <c r="K7" s="10">
        <v>-97563.64</v>
      </c>
      <c r="L7" s="74">
        <f t="shared" si="1"/>
        <v>40720.43</v>
      </c>
    </row>
    <row r="8" spans="1:12" ht="30" customHeight="1" x14ac:dyDescent="0.3">
      <c r="A8" s="73" t="s">
        <v>144</v>
      </c>
      <c r="B8" s="19" t="s">
        <v>145</v>
      </c>
      <c r="C8" s="10">
        <v>28603</v>
      </c>
      <c r="D8" s="10">
        <v>1558</v>
      </c>
      <c r="E8" s="10">
        <v>2687</v>
      </c>
      <c r="F8" s="10">
        <v>9515</v>
      </c>
      <c r="G8" s="10">
        <v>1032</v>
      </c>
      <c r="H8" s="10">
        <f t="shared" si="0"/>
        <v>14792</v>
      </c>
      <c r="I8" s="42">
        <v>460</v>
      </c>
      <c r="J8" s="10">
        <v>-88647.74</v>
      </c>
      <c r="K8" s="10">
        <v>-145369.99</v>
      </c>
      <c r="L8" s="74">
        <f t="shared" si="1"/>
        <v>56722.249999999985</v>
      </c>
    </row>
    <row r="9" spans="1:12" ht="30" customHeight="1" x14ac:dyDescent="0.3">
      <c r="A9" s="73" t="s">
        <v>146</v>
      </c>
      <c r="B9" s="19" t="s">
        <v>147</v>
      </c>
      <c r="C9" s="10">
        <v>28603</v>
      </c>
      <c r="D9" s="10">
        <v>1558</v>
      </c>
      <c r="E9" s="10">
        <v>2687</v>
      </c>
      <c r="F9" s="10">
        <v>9515</v>
      </c>
      <c r="G9" s="10">
        <v>1298</v>
      </c>
      <c r="H9" s="10">
        <f t="shared" si="0"/>
        <v>15058</v>
      </c>
      <c r="I9" s="42">
        <v>470</v>
      </c>
      <c r="J9" s="10">
        <v>-25020.92</v>
      </c>
      <c r="K9" s="10">
        <v>-49757.3</v>
      </c>
      <c r="L9" s="74">
        <f t="shared" si="1"/>
        <v>24736.380000000005</v>
      </c>
    </row>
    <row r="10" spans="1:12" ht="30" customHeight="1" x14ac:dyDescent="0.3">
      <c r="A10" s="73" t="s">
        <v>148</v>
      </c>
      <c r="B10" s="19" t="s">
        <v>149</v>
      </c>
      <c r="C10" s="10">
        <v>28603</v>
      </c>
      <c r="D10" s="10">
        <v>1558</v>
      </c>
      <c r="E10" s="10">
        <v>2687</v>
      </c>
      <c r="F10" s="10">
        <v>9515</v>
      </c>
      <c r="G10" s="10">
        <v>1298</v>
      </c>
      <c r="H10" s="10">
        <f t="shared" si="0"/>
        <v>15058</v>
      </c>
      <c r="I10" s="42">
        <v>448</v>
      </c>
      <c r="J10" s="10">
        <v>-55514.3</v>
      </c>
      <c r="K10" s="10">
        <v>-92832.03</v>
      </c>
      <c r="L10" s="74">
        <f t="shared" si="1"/>
        <v>37317.729999999996</v>
      </c>
    </row>
    <row r="11" spans="1:12" ht="30" customHeight="1" x14ac:dyDescent="0.3">
      <c r="A11" s="73" t="s">
        <v>150</v>
      </c>
      <c r="B11" s="19" t="s">
        <v>151</v>
      </c>
      <c r="C11" s="10">
        <v>28603</v>
      </c>
      <c r="D11" s="10">
        <v>1558</v>
      </c>
      <c r="E11" s="10">
        <v>2687</v>
      </c>
      <c r="F11" s="10">
        <v>9515</v>
      </c>
      <c r="G11" s="10">
        <v>1298</v>
      </c>
      <c r="H11" s="10">
        <f t="shared" si="0"/>
        <v>15058</v>
      </c>
      <c r="I11" s="42">
        <v>470</v>
      </c>
      <c r="J11" s="10">
        <v>-32595.19</v>
      </c>
      <c r="K11" s="10">
        <v>-62702.22</v>
      </c>
      <c r="L11" s="74">
        <f t="shared" si="1"/>
        <v>30107.030000000002</v>
      </c>
    </row>
    <row r="12" spans="1:12" ht="30" customHeight="1" x14ac:dyDescent="0.3">
      <c r="A12" s="75" t="s">
        <v>152</v>
      </c>
      <c r="B12" s="76" t="s">
        <v>153</v>
      </c>
      <c r="C12" s="67">
        <v>28603</v>
      </c>
      <c r="D12" s="67">
        <v>1558</v>
      </c>
      <c r="E12" s="67">
        <v>2687</v>
      </c>
      <c r="F12" s="67">
        <v>22564</v>
      </c>
      <c r="G12" s="67">
        <v>1298</v>
      </c>
      <c r="H12" s="67">
        <f t="shared" si="0"/>
        <v>28107</v>
      </c>
      <c r="I12" s="77">
        <v>572</v>
      </c>
      <c r="J12" s="67">
        <v>-75920.679999999993</v>
      </c>
      <c r="K12" s="67">
        <v>-97563.64</v>
      </c>
      <c r="L12" s="78">
        <f t="shared" si="1"/>
        <v>21642.960000000006</v>
      </c>
    </row>
    <row r="14" spans="1:12" x14ac:dyDescent="0.3">
      <c r="A14" s="2" t="s">
        <v>154</v>
      </c>
    </row>
    <row r="15" spans="1:12" ht="79.95" customHeight="1" x14ac:dyDescent="0.3">
      <c r="A15" s="58" t="s">
        <v>202</v>
      </c>
      <c r="B15" s="59"/>
      <c r="C15" s="59"/>
      <c r="D15" s="59"/>
      <c r="E15" s="59"/>
      <c r="F15" s="59"/>
      <c r="G15" s="59"/>
      <c r="H15" s="59"/>
      <c r="I15" s="59"/>
      <c r="J15" s="59"/>
      <c r="K15" s="59"/>
      <c r="L15" s="59"/>
    </row>
  </sheetData>
  <mergeCells count="1">
    <mergeCell ref="A15:L15"/>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1AF9F-AE8A-4B2F-97D1-ABA6C3D76678}">
  <dimension ref="A1:F50"/>
  <sheetViews>
    <sheetView workbookViewId="0"/>
  </sheetViews>
  <sheetFormatPr defaultRowHeight="13.2" x14ac:dyDescent="0.25"/>
  <cols>
    <col min="1" max="1" width="16.77734375" style="48" customWidth="1"/>
    <col min="2" max="7" width="12.77734375" style="48" customWidth="1"/>
    <col min="8" max="16384" width="8.88671875" style="48"/>
  </cols>
  <sheetData>
    <row r="1" spans="1:6" ht="17.399999999999999" x14ac:dyDescent="0.3">
      <c r="A1" s="51" t="s">
        <v>228</v>
      </c>
    </row>
    <row r="2" spans="1:6" x14ac:dyDescent="0.25">
      <c r="A2" s="50" t="s">
        <v>212</v>
      </c>
    </row>
    <row r="4" spans="1:6" x14ac:dyDescent="0.25">
      <c r="A4" s="56" t="s">
        <v>77</v>
      </c>
    </row>
    <row r="5" spans="1:6" ht="14.4" x14ac:dyDescent="0.3">
      <c r="A5" s="52" t="s">
        <v>224</v>
      </c>
      <c r="B5" s="52" t="s">
        <v>215</v>
      </c>
      <c r="C5"/>
      <c r="D5"/>
      <c r="E5"/>
      <c r="F5"/>
    </row>
    <row r="6" spans="1:6" ht="14.4" x14ac:dyDescent="0.3">
      <c r="A6" s="52" t="s">
        <v>213</v>
      </c>
      <c r="B6" t="s">
        <v>62</v>
      </c>
      <c r="C6" t="s">
        <v>67</v>
      </c>
      <c r="D6" t="s">
        <v>69</v>
      </c>
      <c r="E6" t="s">
        <v>71</v>
      </c>
      <c r="F6" t="s">
        <v>214</v>
      </c>
    </row>
    <row r="7" spans="1:6" ht="14.4" x14ac:dyDescent="0.3">
      <c r="A7" s="53" t="s">
        <v>216</v>
      </c>
      <c r="B7" s="54">
        <v>3700.24</v>
      </c>
      <c r="C7" s="54">
        <v>5445.75</v>
      </c>
      <c r="D7" s="54">
        <v>8042.77</v>
      </c>
      <c r="E7" s="54">
        <v>1340.53</v>
      </c>
      <c r="F7" s="54">
        <v>18529.29</v>
      </c>
    </row>
    <row r="8" spans="1:6" ht="14.4" x14ac:dyDescent="0.3">
      <c r="A8" s="53" t="s">
        <v>217</v>
      </c>
      <c r="B8" s="54">
        <v>2219.08</v>
      </c>
      <c r="C8" s="54">
        <v>4812.82</v>
      </c>
      <c r="D8" s="54">
        <v>6017.4</v>
      </c>
      <c r="E8" s="54">
        <v>979.58999999999992</v>
      </c>
      <c r="F8" s="54">
        <v>14028.89</v>
      </c>
    </row>
    <row r="9" spans="1:6" ht="14.4" x14ac:dyDescent="0.3">
      <c r="A9" s="53" t="s">
        <v>218</v>
      </c>
      <c r="B9" s="54">
        <v>2419.5199999999995</v>
      </c>
      <c r="C9" s="54">
        <v>5129.18</v>
      </c>
      <c r="D9" s="54">
        <v>6144.2900000000009</v>
      </c>
      <c r="E9" s="54">
        <v>946.43000000000006</v>
      </c>
      <c r="F9" s="54">
        <v>14639.420000000002</v>
      </c>
    </row>
    <row r="10" spans="1:6" ht="14.4" x14ac:dyDescent="0.3">
      <c r="A10" s="53" t="s">
        <v>219</v>
      </c>
      <c r="B10" s="54">
        <v>2452.1099999999997</v>
      </c>
      <c r="C10" s="54">
        <v>4997</v>
      </c>
      <c r="D10" s="54">
        <v>6065.59</v>
      </c>
      <c r="E10" s="54">
        <v>1027.5700000000002</v>
      </c>
      <c r="F10" s="54">
        <v>14542.27</v>
      </c>
    </row>
    <row r="11" spans="1:6" ht="14.4" x14ac:dyDescent="0.3">
      <c r="A11" s="53" t="s">
        <v>220</v>
      </c>
      <c r="B11" s="54">
        <v>4148.6100000000006</v>
      </c>
      <c r="C11" s="54">
        <v>7611.43</v>
      </c>
      <c r="D11" s="54">
        <v>11317.44</v>
      </c>
      <c r="E11" s="54">
        <v>1195.72</v>
      </c>
      <c r="F11" s="54">
        <v>24273.200000000004</v>
      </c>
    </row>
    <row r="12" spans="1:6" ht="14.4" x14ac:dyDescent="0.3">
      <c r="A12" s="53" t="s">
        <v>221</v>
      </c>
      <c r="B12" s="54">
        <v>2849.87</v>
      </c>
      <c r="C12" s="54">
        <v>6257.49</v>
      </c>
      <c r="D12" s="54">
        <v>6411.41</v>
      </c>
      <c r="E12" s="54">
        <v>988.06</v>
      </c>
      <c r="F12" s="54">
        <v>16506.830000000002</v>
      </c>
    </row>
    <row r="13" spans="1:6" ht="14.4" x14ac:dyDescent="0.3">
      <c r="A13" s="53" t="s">
        <v>222</v>
      </c>
      <c r="B13" s="54">
        <v>2771.6800000000003</v>
      </c>
      <c r="C13" s="54">
        <v>6052.7400000000007</v>
      </c>
      <c r="D13" s="54">
        <v>10944.369999999999</v>
      </c>
      <c r="E13" s="54">
        <v>1159.55</v>
      </c>
      <c r="F13" s="54">
        <v>20928.34</v>
      </c>
    </row>
    <row r="14" spans="1:6" ht="14.4" x14ac:dyDescent="0.3">
      <c r="A14" s="53" t="s">
        <v>223</v>
      </c>
      <c r="B14" s="54">
        <v>3116.48</v>
      </c>
      <c r="C14" s="54">
        <v>5374.79</v>
      </c>
      <c r="D14" s="54">
        <v>19030.080000000002</v>
      </c>
      <c r="E14" s="54">
        <v>1081.3399999999999</v>
      </c>
      <c r="F14" s="54">
        <v>28602.690000000002</v>
      </c>
    </row>
    <row r="15" spans="1:6" ht="14.4" x14ac:dyDescent="0.3">
      <c r="A15" s="53" t="s">
        <v>214</v>
      </c>
      <c r="B15" s="54">
        <v>23677.59</v>
      </c>
      <c r="C15" s="54">
        <v>45681.2</v>
      </c>
      <c r="D15" s="54">
        <v>73973.349999999991</v>
      </c>
      <c r="E15" s="54">
        <v>8718.7900000000009</v>
      </c>
      <c r="F15" s="54">
        <v>152050.93</v>
      </c>
    </row>
    <row r="16" spans="1:6" ht="14.4" x14ac:dyDescent="0.3">
      <c r="A16"/>
      <c r="B16"/>
      <c r="C16"/>
    </row>
    <row r="17" spans="1:6" ht="14.4" x14ac:dyDescent="0.3">
      <c r="A17"/>
      <c r="B17"/>
      <c r="C17"/>
    </row>
    <row r="18" spans="1:6" ht="14.4" x14ac:dyDescent="0.3">
      <c r="A18" s="57" t="s">
        <v>135</v>
      </c>
      <c r="B18"/>
      <c r="C18"/>
    </row>
    <row r="19" spans="1:6" ht="14.4" x14ac:dyDescent="0.3">
      <c r="A19" s="52" t="s">
        <v>225</v>
      </c>
      <c r="B19" s="52" t="s">
        <v>215</v>
      </c>
      <c r="C19"/>
      <c r="D19"/>
      <c r="E19"/>
      <c r="F19"/>
    </row>
    <row r="20" spans="1:6" ht="14.4" x14ac:dyDescent="0.3">
      <c r="A20" s="52" t="s">
        <v>213</v>
      </c>
      <c r="B20" t="s">
        <v>62</v>
      </c>
      <c r="C20" t="s">
        <v>67</v>
      </c>
      <c r="D20" t="s">
        <v>69</v>
      </c>
      <c r="E20" t="s">
        <v>71</v>
      </c>
      <c r="F20" t="s">
        <v>214</v>
      </c>
    </row>
    <row r="21" spans="1:6" ht="14.4" x14ac:dyDescent="0.3">
      <c r="A21" s="53" t="s">
        <v>216</v>
      </c>
      <c r="B21" s="54">
        <v>97.3</v>
      </c>
      <c r="C21" s="54">
        <v>230.52</v>
      </c>
      <c r="D21" s="54">
        <v>115.52000000000001</v>
      </c>
      <c r="E21" s="54">
        <v>111.77000000000001</v>
      </c>
      <c r="F21" s="54">
        <v>555.11</v>
      </c>
    </row>
    <row r="22" spans="1:6" ht="14.4" x14ac:dyDescent="0.3">
      <c r="A22" s="53" t="s">
        <v>217</v>
      </c>
      <c r="B22" s="54">
        <v>96.259999999999991</v>
      </c>
      <c r="C22" s="54">
        <v>211.82</v>
      </c>
      <c r="D22" s="54">
        <v>95.66</v>
      </c>
      <c r="E22" s="54">
        <v>116.5</v>
      </c>
      <c r="F22" s="54">
        <v>520.24</v>
      </c>
    </row>
    <row r="23" spans="1:6" ht="14.4" x14ac:dyDescent="0.3">
      <c r="A23" s="53" t="s">
        <v>218</v>
      </c>
      <c r="B23" s="54">
        <v>90.740000000000009</v>
      </c>
      <c r="C23" s="54">
        <v>227.65</v>
      </c>
      <c r="D23" s="54">
        <v>113.56</v>
      </c>
      <c r="E23" s="54">
        <v>98.47</v>
      </c>
      <c r="F23" s="54">
        <v>530.41999999999996</v>
      </c>
    </row>
    <row r="24" spans="1:6" ht="14.4" x14ac:dyDescent="0.3">
      <c r="A24" s="53" t="s">
        <v>219</v>
      </c>
      <c r="B24" s="54">
        <v>85.22999999999999</v>
      </c>
      <c r="C24" s="54">
        <v>202.23000000000002</v>
      </c>
      <c r="D24" s="54">
        <v>129.5</v>
      </c>
      <c r="E24" s="54">
        <v>104.87</v>
      </c>
      <c r="F24" s="54">
        <v>521.83000000000004</v>
      </c>
    </row>
    <row r="25" spans="1:6" ht="14.4" x14ac:dyDescent="0.3">
      <c r="A25" s="53" t="s">
        <v>220</v>
      </c>
      <c r="B25" s="54">
        <v>140.46</v>
      </c>
      <c r="C25" s="54">
        <v>268.7</v>
      </c>
      <c r="D25" s="54">
        <v>159.36000000000001</v>
      </c>
      <c r="E25" s="54">
        <v>109.36999999999999</v>
      </c>
      <c r="F25" s="54">
        <v>677.89</v>
      </c>
    </row>
    <row r="26" spans="1:6" ht="14.4" x14ac:dyDescent="0.3">
      <c r="A26" s="53" t="s">
        <v>221</v>
      </c>
      <c r="B26" s="54">
        <v>109.84</v>
      </c>
      <c r="C26" s="54">
        <v>267.16000000000003</v>
      </c>
      <c r="D26" s="54">
        <v>126.93</v>
      </c>
      <c r="E26" s="54">
        <v>100.7</v>
      </c>
      <c r="F26" s="54">
        <v>604.63</v>
      </c>
    </row>
    <row r="27" spans="1:6" ht="14.4" x14ac:dyDescent="0.3">
      <c r="A27" s="53" t="s">
        <v>222</v>
      </c>
      <c r="B27" s="54">
        <v>113.63</v>
      </c>
      <c r="C27" s="54">
        <v>261.97000000000003</v>
      </c>
      <c r="D27" s="54">
        <v>120.43</v>
      </c>
      <c r="E27" s="54">
        <v>111.67</v>
      </c>
      <c r="F27" s="54">
        <v>607.70000000000005</v>
      </c>
    </row>
    <row r="28" spans="1:6" ht="14.4" x14ac:dyDescent="0.3">
      <c r="A28" s="53" t="s">
        <v>223</v>
      </c>
      <c r="B28" s="54">
        <v>115.53999999999999</v>
      </c>
      <c r="C28" s="54">
        <v>222.13</v>
      </c>
      <c r="D28" s="54">
        <v>120.43</v>
      </c>
      <c r="E28" s="54">
        <v>109.13999999999999</v>
      </c>
      <c r="F28" s="54">
        <v>567.24</v>
      </c>
    </row>
    <row r="29" spans="1:6" ht="14.4" x14ac:dyDescent="0.3">
      <c r="A29" s="53" t="s">
        <v>214</v>
      </c>
      <c r="B29" s="54">
        <v>849</v>
      </c>
      <c r="C29" s="54">
        <v>1892.1800000000003</v>
      </c>
      <c r="D29" s="54">
        <v>981.3900000000001</v>
      </c>
      <c r="E29" s="54">
        <v>862.49</v>
      </c>
      <c r="F29" s="54">
        <v>4585.0599999999995</v>
      </c>
    </row>
    <row r="30" spans="1:6" ht="14.4" x14ac:dyDescent="0.3">
      <c r="A30"/>
      <c r="B30"/>
      <c r="C30"/>
    </row>
    <row r="31" spans="1:6" ht="14.4" x14ac:dyDescent="0.3">
      <c r="A31"/>
      <c r="B31"/>
      <c r="C31"/>
    </row>
    <row r="32" spans="1:6" ht="14.4" x14ac:dyDescent="0.3">
      <c r="A32" s="57" t="s">
        <v>226</v>
      </c>
      <c r="B32"/>
      <c r="C32"/>
    </row>
    <row r="33" spans="1:6" ht="14.4" x14ac:dyDescent="0.3">
      <c r="A33" s="52" t="s">
        <v>227</v>
      </c>
      <c r="B33" s="52" t="s">
        <v>215</v>
      </c>
      <c r="C33"/>
      <c r="D33"/>
      <c r="E33"/>
      <c r="F33"/>
    </row>
    <row r="34" spans="1:6" ht="14.4" x14ac:dyDescent="0.3">
      <c r="A34" s="52" t="s">
        <v>213</v>
      </c>
      <c r="B34" t="s">
        <v>62</v>
      </c>
      <c r="C34" t="s">
        <v>67</v>
      </c>
      <c r="D34" t="s">
        <v>69</v>
      </c>
      <c r="E34" t="s">
        <v>71</v>
      </c>
      <c r="F34" t="s">
        <v>214</v>
      </c>
    </row>
    <row r="35" spans="1:6" ht="14.4" x14ac:dyDescent="0.3">
      <c r="A35" s="53" t="s">
        <v>216</v>
      </c>
      <c r="B35" s="55">
        <v>38.029188078108938</v>
      </c>
      <c r="C35" s="55">
        <v>23.623763664757938</v>
      </c>
      <c r="D35" s="55">
        <v>69.62231648199446</v>
      </c>
      <c r="E35" s="55">
        <v>11.993647669320925</v>
      </c>
      <c r="F35" s="55">
        <v>33.379492352866997</v>
      </c>
    </row>
    <row r="36" spans="1:6" ht="14.4" x14ac:dyDescent="0.3">
      <c r="A36" s="53" t="s">
        <v>217</v>
      </c>
      <c r="B36" s="55">
        <v>23.05298150841471</v>
      </c>
      <c r="C36" s="55">
        <v>22.721272778774431</v>
      </c>
      <c r="D36" s="55">
        <v>62.904035124398909</v>
      </c>
      <c r="E36" s="55">
        <v>8.4084978540772521</v>
      </c>
      <c r="F36" s="55">
        <v>26.966188682146701</v>
      </c>
    </row>
    <row r="37" spans="1:6" ht="14.4" x14ac:dyDescent="0.3">
      <c r="A37" s="53" t="s">
        <v>218</v>
      </c>
      <c r="B37" s="55">
        <v>26.664315627066337</v>
      </c>
      <c r="C37" s="55">
        <v>22.530990555677576</v>
      </c>
      <c r="D37" s="55">
        <v>54.106111306798176</v>
      </c>
      <c r="E37" s="55">
        <v>9.6113537117903931</v>
      </c>
      <c r="F37" s="55">
        <v>27.599675728667844</v>
      </c>
    </row>
    <row r="38" spans="1:6" ht="14.4" x14ac:dyDescent="0.3">
      <c r="A38" s="53" t="s">
        <v>219</v>
      </c>
      <c r="B38" s="55">
        <v>28.770503343892994</v>
      </c>
      <c r="C38" s="55">
        <v>24.709489195470503</v>
      </c>
      <c r="D38" s="55">
        <v>46.838532818532819</v>
      </c>
      <c r="E38" s="55">
        <v>9.7985124439782592</v>
      </c>
      <c r="F38" s="55">
        <v>27.867830519517845</v>
      </c>
    </row>
    <row r="39" spans="1:6" ht="14.4" x14ac:dyDescent="0.3">
      <c r="A39" s="53" t="s">
        <v>220</v>
      </c>
      <c r="B39" s="55">
        <v>29.535882101665958</v>
      </c>
      <c r="C39" s="55">
        <v>28.326870115370305</v>
      </c>
      <c r="D39" s="55">
        <v>71.018072289156621</v>
      </c>
      <c r="E39" s="55">
        <v>10.932796927859561</v>
      </c>
      <c r="F39" s="55">
        <v>35.80698933455281</v>
      </c>
    </row>
    <row r="40" spans="1:6" ht="14.4" x14ac:dyDescent="0.3">
      <c r="A40" s="53" t="s">
        <v>221</v>
      </c>
      <c r="B40" s="55">
        <v>25.945648215586306</v>
      </c>
      <c r="C40" s="55">
        <v>23.422256325797271</v>
      </c>
      <c r="D40" s="55">
        <v>50.511384227526982</v>
      </c>
      <c r="E40" s="55">
        <v>9.8119165839126108</v>
      </c>
      <c r="F40" s="55">
        <v>27.300712832641441</v>
      </c>
    </row>
    <row r="41" spans="1:6" ht="14.4" x14ac:dyDescent="0.3">
      <c r="A41" s="53" t="s">
        <v>222</v>
      </c>
      <c r="B41" s="55">
        <v>24.392149960397784</v>
      </c>
      <c r="C41" s="55">
        <v>23.104706645799137</v>
      </c>
      <c r="D41" s="55">
        <v>90.877439176284966</v>
      </c>
      <c r="E41" s="55">
        <v>10.383719888958538</v>
      </c>
      <c r="F41" s="55">
        <v>34.438604574625636</v>
      </c>
    </row>
    <row r="42" spans="1:6" ht="14.4" x14ac:dyDescent="0.3">
      <c r="A42" s="53" t="s">
        <v>223</v>
      </c>
      <c r="B42" s="55">
        <v>26.973169465120307</v>
      </c>
      <c r="C42" s="55">
        <v>24.196596587583848</v>
      </c>
      <c r="D42" s="55">
        <v>158.01776965872293</v>
      </c>
      <c r="E42" s="55">
        <v>9.907824812167858</v>
      </c>
      <c r="F42" s="55">
        <v>50.424317749100915</v>
      </c>
    </row>
    <row r="43" spans="1:6" ht="14.4" x14ac:dyDescent="0.3">
      <c r="A43" s="53" t="s">
        <v>214</v>
      </c>
      <c r="B43" s="55">
        <v>27.888798586572442</v>
      </c>
      <c r="C43" s="55">
        <v>24.142100645815944</v>
      </c>
      <c r="D43" s="55">
        <v>75.376099206227906</v>
      </c>
      <c r="E43" s="55">
        <v>10.108859233150529</v>
      </c>
      <c r="F43" s="55">
        <v>33.162255237663196</v>
      </c>
    </row>
    <row r="44" spans="1:6" ht="14.4" x14ac:dyDescent="0.3">
      <c r="A44"/>
      <c r="B44"/>
      <c r="C44"/>
    </row>
    <row r="45" spans="1:6" ht="14.4" x14ac:dyDescent="0.3">
      <c r="A45"/>
      <c r="B45"/>
      <c r="C45"/>
    </row>
    <row r="46" spans="1:6" ht="14.4" x14ac:dyDescent="0.3">
      <c r="A46"/>
      <c r="B46"/>
      <c r="C46"/>
    </row>
    <row r="47" spans="1:6" ht="14.4" x14ac:dyDescent="0.3">
      <c r="A47"/>
      <c r="B47"/>
      <c r="C47"/>
    </row>
    <row r="48" spans="1:6" ht="14.4" x14ac:dyDescent="0.3">
      <c r="A48"/>
      <c r="B48"/>
      <c r="C48"/>
    </row>
    <row r="49" spans="1:3" ht="14.4" x14ac:dyDescent="0.3">
      <c r="A49"/>
      <c r="B49"/>
      <c r="C49"/>
    </row>
    <row r="50" spans="1:3" ht="14.4" x14ac:dyDescent="0.3">
      <c r="A50"/>
      <c r="B50"/>
      <c r="C50"/>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showGridLines="0" workbookViewId="0"/>
  </sheetViews>
  <sheetFormatPr defaultRowHeight="14.4" x14ac:dyDescent="0.3"/>
  <cols>
    <col min="1" max="1" width="22" customWidth="1"/>
    <col min="2" max="2" width="120" customWidth="1"/>
  </cols>
  <sheetData>
    <row r="1" spans="1:2" ht="17.399999999999999" x14ac:dyDescent="0.3">
      <c r="A1" s="1" t="s">
        <v>155</v>
      </c>
    </row>
    <row r="3" spans="1:2" ht="19.95" customHeight="1" x14ac:dyDescent="0.3">
      <c r="A3" s="5" t="s">
        <v>156</v>
      </c>
      <c r="B3" s="5" t="s">
        <v>61</v>
      </c>
    </row>
    <row r="4" spans="1:2" ht="61.95" customHeight="1" x14ac:dyDescent="0.3">
      <c r="A4" s="41" t="s">
        <v>157</v>
      </c>
      <c r="B4" s="19" t="s">
        <v>158</v>
      </c>
    </row>
    <row r="5" spans="1:2" ht="61.95" customHeight="1" x14ac:dyDescent="0.3">
      <c r="A5" s="41" t="s">
        <v>159</v>
      </c>
      <c r="B5" s="19" t="s">
        <v>160</v>
      </c>
    </row>
    <row r="6" spans="1:2" ht="61.95" customHeight="1" x14ac:dyDescent="0.3">
      <c r="A6" s="41" t="s">
        <v>161</v>
      </c>
      <c r="B6" s="19" t="s">
        <v>162</v>
      </c>
    </row>
    <row r="7" spans="1:2" ht="61.95" customHeight="1" x14ac:dyDescent="0.3">
      <c r="A7" s="41" t="s">
        <v>163</v>
      </c>
      <c r="B7" s="19" t="s">
        <v>164</v>
      </c>
    </row>
    <row r="8" spans="1:2" ht="61.95" customHeight="1" x14ac:dyDescent="0.3">
      <c r="A8" s="41" t="s">
        <v>165</v>
      </c>
      <c r="B8" s="19" t="s">
        <v>166</v>
      </c>
    </row>
    <row r="9" spans="1:2" ht="61.95" customHeight="1" x14ac:dyDescent="0.3">
      <c r="A9" s="41" t="s">
        <v>167</v>
      </c>
      <c r="B9" s="19" t="s">
        <v>203</v>
      </c>
    </row>
    <row r="10" spans="1:2" ht="61.95" customHeight="1" x14ac:dyDescent="0.3">
      <c r="A10" s="41" t="s">
        <v>168</v>
      </c>
      <c r="B10" s="19" t="s">
        <v>169</v>
      </c>
    </row>
    <row r="11" spans="1:2" ht="61.95" customHeight="1" x14ac:dyDescent="0.3">
      <c r="A11" s="41" t="s">
        <v>170</v>
      </c>
      <c r="B11" s="19" t="s">
        <v>171</v>
      </c>
    </row>
    <row r="12" spans="1:2" ht="61.95" customHeight="1" x14ac:dyDescent="0.3">
      <c r="A12" s="41" t="s">
        <v>172</v>
      </c>
      <c r="B12" s="19" t="s">
        <v>173</v>
      </c>
    </row>
    <row r="13" spans="1:2" ht="48" customHeight="1" x14ac:dyDescent="0.3">
      <c r="A13" s="46" t="s">
        <v>205</v>
      </c>
      <c r="B13" s="47" t="s">
        <v>206</v>
      </c>
    </row>
    <row r="14" spans="1:2" ht="48" customHeight="1" x14ac:dyDescent="0.3">
      <c r="A14" s="46" t="s">
        <v>207</v>
      </c>
      <c r="B14" s="47" t="s">
        <v>208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
  <sheetViews>
    <sheetView workbookViewId="0">
      <pane xSplit="1" ySplit="1" topLeftCell="B2" activePane="bottomRight" state="frozen"/>
      <selection pane="topRight"/>
      <selection pane="bottomLeft"/>
      <selection pane="bottomRight"/>
    </sheetView>
  </sheetViews>
  <sheetFormatPr defaultRowHeight="14.4" x14ac:dyDescent="0.3"/>
  <cols>
    <col min="1" max="1" width="20" customWidth="1"/>
    <col min="2" max="17" width="14" customWidth="1"/>
  </cols>
  <sheetData>
    <row r="1" spans="1:17" ht="40.049999999999997" customHeight="1" x14ac:dyDescent="0.3">
      <c r="A1" s="5" t="s">
        <v>174</v>
      </c>
      <c r="B1" s="5" t="s">
        <v>175</v>
      </c>
      <c r="C1" s="5" t="s">
        <v>176</v>
      </c>
      <c r="D1" s="5" t="s">
        <v>177</v>
      </c>
      <c r="E1" s="5" t="s">
        <v>178</v>
      </c>
      <c r="F1" s="5" t="s">
        <v>179</v>
      </c>
      <c r="G1" s="5" t="s">
        <v>180</v>
      </c>
      <c r="H1" s="5" t="s">
        <v>181</v>
      </c>
      <c r="I1" s="5" t="s">
        <v>182</v>
      </c>
      <c r="J1" s="5" t="s">
        <v>183</v>
      </c>
      <c r="K1" s="5" t="s">
        <v>184</v>
      </c>
      <c r="L1" s="5" t="s">
        <v>185</v>
      </c>
      <c r="M1" s="5" t="s">
        <v>186</v>
      </c>
      <c r="N1" s="5" t="s">
        <v>187</v>
      </c>
      <c r="O1" s="5" t="s">
        <v>188</v>
      </c>
      <c r="P1" s="5" t="s">
        <v>189</v>
      </c>
      <c r="Q1" s="5" t="s">
        <v>190</v>
      </c>
    </row>
    <row r="2" spans="1:17" x14ac:dyDescent="0.3">
      <c r="A2" s="15" t="s">
        <v>62</v>
      </c>
      <c r="B2" s="15">
        <v>23677.59</v>
      </c>
      <c r="C2" s="15">
        <v>846</v>
      </c>
      <c r="D2" s="15">
        <v>1368</v>
      </c>
      <c r="E2" s="15">
        <v>3420</v>
      </c>
      <c r="F2" s="15">
        <v>32.03</v>
      </c>
      <c r="G2" s="15">
        <v>27.99</v>
      </c>
      <c r="H2" s="15">
        <v>382</v>
      </c>
      <c r="I2" s="15">
        <v>251.54</v>
      </c>
      <c r="J2" s="15">
        <v>321.20999999999998</v>
      </c>
      <c r="K2" s="15">
        <v>7.8529999999999998</v>
      </c>
      <c r="L2" s="15">
        <v>11.477</v>
      </c>
      <c r="M2" s="15">
        <v>3</v>
      </c>
      <c r="N2" s="15">
        <v>1</v>
      </c>
      <c r="O2" s="15">
        <v>742.49</v>
      </c>
      <c r="P2" s="15">
        <v>-490.95</v>
      </c>
      <c r="Q2" s="15">
        <v>-15.327999999999999</v>
      </c>
    </row>
    <row r="3" spans="1:17" x14ac:dyDescent="0.3">
      <c r="A3" s="15" t="s">
        <v>65</v>
      </c>
      <c r="B3" s="15">
        <v>0</v>
      </c>
      <c r="C3" s="15">
        <v>1401</v>
      </c>
      <c r="D3" s="15">
        <v>1831</v>
      </c>
      <c r="E3" s="15">
        <v>4577.5</v>
      </c>
      <c r="F3" s="15"/>
      <c r="G3" s="15"/>
      <c r="H3" s="15">
        <v>650</v>
      </c>
      <c r="I3" s="15">
        <v>167.97</v>
      </c>
      <c r="J3" s="15">
        <v>217.02</v>
      </c>
      <c r="K3" s="15"/>
      <c r="L3" s="15"/>
      <c r="M3" s="15"/>
      <c r="N3" s="15"/>
      <c r="O3" s="15">
        <v>196.21</v>
      </c>
      <c r="P3" s="15">
        <v>-28.24</v>
      </c>
      <c r="Q3" s="15"/>
    </row>
    <row r="4" spans="1:17" x14ac:dyDescent="0.3">
      <c r="A4" s="15" t="s">
        <v>67</v>
      </c>
      <c r="B4" s="15">
        <v>45681.2</v>
      </c>
      <c r="C4" s="15">
        <v>1545</v>
      </c>
      <c r="D4" s="15">
        <v>2086</v>
      </c>
      <c r="E4" s="15">
        <v>5215</v>
      </c>
      <c r="F4" s="15">
        <v>32.94</v>
      </c>
      <c r="G4" s="15">
        <v>29.57</v>
      </c>
      <c r="H4" s="15">
        <v>719</v>
      </c>
      <c r="I4" s="15">
        <v>185.36</v>
      </c>
      <c r="J4" s="15">
        <v>237.31</v>
      </c>
      <c r="K4" s="15">
        <v>5.6269999999999998</v>
      </c>
      <c r="L4" s="15">
        <v>8.0259999999999998</v>
      </c>
      <c r="M4" s="15">
        <v>4</v>
      </c>
      <c r="N4" s="15">
        <v>1</v>
      </c>
      <c r="O4" s="15">
        <v>217.32</v>
      </c>
      <c r="P4" s="15">
        <v>-31.96</v>
      </c>
      <c r="Q4" s="15">
        <v>-0.97</v>
      </c>
    </row>
    <row r="5" spans="1:17" x14ac:dyDescent="0.3">
      <c r="A5" s="15" t="s">
        <v>69</v>
      </c>
      <c r="B5" s="15">
        <v>73973.350000000006</v>
      </c>
      <c r="C5" s="15">
        <v>1225</v>
      </c>
      <c r="D5" s="15">
        <v>2550</v>
      </c>
      <c r="E5" s="15">
        <v>6375</v>
      </c>
      <c r="F5" s="15">
        <v>65.59</v>
      </c>
      <c r="G5" s="15">
        <v>60.39</v>
      </c>
      <c r="H5" s="15">
        <v>562</v>
      </c>
      <c r="I5" s="15">
        <v>171.28</v>
      </c>
      <c r="J5" s="15">
        <v>216.32</v>
      </c>
      <c r="K5" s="15">
        <v>2.6110000000000002</v>
      </c>
      <c r="L5" s="15">
        <v>3.5819999999999999</v>
      </c>
      <c r="M5" s="15">
        <v>6</v>
      </c>
      <c r="N5" s="15">
        <v>1</v>
      </c>
      <c r="O5" s="15">
        <v>225.31</v>
      </c>
      <c r="P5" s="15">
        <v>-54.03</v>
      </c>
      <c r="Q5" s="15">
        <v>-0.82399999999999995</v>
      </c>
    </row>
    <row r="6" spans="1:17" x14ac:dyDescent="0.3">
      <c r="A6" s="15" t="s">
        <v>71</v>
      </c>
      <c r="B6" s="15">
        <v>8718.7900000000009</v>
      </c>
      <c r="C6" s="15">
        <v>911</v>
      </c>
      <c r="D6" s="15">
        <v>1056</v>
      </c>
      <c r="E6" s="15">
        <v>2640</v>
      </c>
      <c r="F6" s="15">
        <v>12.47</v>
      </c>
      <c r="G6" s="15">
        <v>9.57</v>
      </c>
      <c r="H6" s="15">
        <v>467</v>
      </c>
      <c r="I6" s="15">
        <v>165.36</v>
      </c>
      <c r="J6" s="15">
        <v>217.06</v>
      </c>
      <c r="K6" s="15">
        <v>13.262</v>
      </c>
      <c r="L6" s="15">
        <v>22.68</v>
      </c>
      <c r="M6" s="15">
        <v>2</v>
      </c>
      <c r="N6" s="15">
        <v>1</v>
      </c>
      <c r="O6" s="15">
        <v>110.87</v>
      </c>
      <c r="P6" s="15">
        <v>54.49</v>
      </c>
      <c r="Q6" s="15">
        <v>4.3710000000000004</v>
      </c>
    </row>
    <row r="9" spans="1:17" x14ac:dyDescent="0.3">
      <c r="A9" s="2" t="s">
        <v>191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97"/>
  <sheetViews>
    <sheetView workbookViewId="0">
      <pane ySplit="1" topLeftCell="A2" activePane="bottomLeft" state="frozen"/>
      <selection pane="bottomLeft"/>
    </sheetView>
  </sheetViews>
  <sheetFormatPr defaultRowHeight="14.4" x14ac:dyDescent="0.3"/>
  <cols>
    <col min="1" max="1" width="16" customWidth="1"/>
    <col min="2" max="3" width="12" customWidth="1"/>
    <col min="4" max="5" width="18" customWidth="1"/>
    <col min="6" max="6" width="12" customWidth="1"/>
    <col min="7" max="7" width="14" customWidth="1"/>
    <col min="8" max="8" width="10.77734375" customWidth="1"/>
  </cols>
  <sheetData>
    <row r="1" spans="1:10" ht="30" customHeight="1" x14ac:dyDescent="0.3">
      <c r="A1" s="5" t="s">
        <v>192</v>
      </c>
      <c r="B1" s="5" t="s">
        <v>193</v>
      </c>
      <c r="C1" s="5" t="s">
        <v>175</v>
      </c>
      <c r="D1" s="5" t="s">
        <v>194</v>
      </c>
      <c r="E1" s="5" t="s">
        <v>195</v>
      </c>
      <c r="F1" s="5" t="s">
        <v>196</v>
      </c>
      <c r="G1" s="5" t="s">
        <v>197</v>
      </c>
      <c r="H1" s="5" t="s">
        <v>210</v>
      </c>
      <c r="I1" s="2"/>
      <c r="J1" s="50" t="s">
        <v>211</v>
      </c>
    </row>
    <row r="2" spans="1:10" x14ac:dyDescent="0.3">
      <c r="A2" s="15" t="s">
        <v>62</v>
      </c>
      <c r="B2" s="43">
        <v>45566</v>
      </c>
      <c r="C2" s="44">
        <v>645.39</v>
      </c>
      <c r="D2" s="45">
        <v>18.100000000000001</v>
      </c>
      <c r="E2" s="15">
        <v>0</v>
      </c>
      <c r="F2" s="34">
        <f t="shared" ref="F2:F33" si="0">LN(C2)</f>
        <v>6.4698547852307025</v>
      </c>
      <c r="G2" s="34">
        <f t="shared" ref="G2:G33" si="1">LN(D2)</f>
        <v>2.8959119382717802</v>
      </c>
      <c r="H2" s="49" t="str">
        <f t="shared" ref="H2:H33" si="2">YEAR(B2)&amp;"-Q"&amp;ROUNDUP(MONTH(B2)/3,0)</f>
        <v>2024-Q4</v>
      </c>
    </row>
    <row r="3" spans="1:10" x14ac:dyDescent="0.3">
      <c r="A3" s="15" t="s">
        <v>62</v>
      </c>
      <c r="B3" s="43">
        <v>45597</v>
      </c>
      <c r="C3" s="44">
        <v>1351.87</v>
      </c>
      <c r="D3" s="45">
        <v>36.4</v>
      </c>
      <c r="E3" s="15">
        <v>0</v>
      </c>
      <c r="F3" s="34">
        <f t="shared" si="0"/>
        <v>7.2092440981336781</v>
      </c>
      <c r="G3" s="34">
        <f t="shared" si="1"/>
        <v>3.5945687746426951</v>
      </c>
      <c r="H3" s="49" t="str">
        <f t="shared" si="2"/>
        <v>2024-Q4</v>
      </c>
    </row>
    <row r="4" spans="1:10" x14ac:dyDescent="0.3">
      <c r="A4" s="15" t="s">
        <v>62</v>
      </c>
      <c r="B4" s="43">
        <v>45627</v>
      </c>
      <c r="C4" s="44">
        <v>1702.98</v>
      </c>
      <c r="D4" s="45">
        <v>42.8</v>
      </c>
      <c r="E4" s="15">
        <v>0</v>
      </c>
      <c r="F4" s="34">
        <f t="shared" si="0"/>
        <v>7.4401349366125178</v>
      </c>
      <c r="G4" s="34">
        <f t="shared" si="1"/>
        <v>3.7565381025877511</v>
      </c>
      <c r="H4" s="49" t="str">
        <f t="shared" si="2"/>
        <v>2024-Q4</v>
      </c>
    </row>
    <row r="5" spans="1:10" x14ac:dyDescent="0.3">
      <c r="A5" s="15" t="s">
        <v>62</v>
      </c>
      <c r="B5" s="43">
        <v>45658</v>
      </c>
      <c r="C5" s="44">
        <v>760.88</v>
      </c>
      <c r="D5" s="45">
        <v>39.75</v>
      </c>
      <c r="E5" s="15">
        <v>0</v>
      </c>
      <c r="F5" s="34">
        <f t="shared" si="0"/>
        <v>6.6344756581741304</v>
      </c>
      <c r="G5" s="34">
        <f t="shared" si="1"/>
        <v>3.6826098411003407</v>
      </c>
      <c r="H5" s="49" t="str">
        <f t="shared" si="2"/>
        <v>2025-Q1</v>
      </c>
    </row>
    <row r="6" spans="1:10" x14ac:dyDescent="0.3">
      <c r="A6" s="15" t="s">
        <v>62</v>
      </c>
      <c r="B6" s="43">
        <v>45689</v>
      </c>
      <c r="C6" s="44">
        <v>816.16999999999985</v>
      </c>
      <c r="D6" s="45">
        <v>18.38</v>
      </c>
      <c r="E6" s="15">
        <v>0</v>
      </c>
      <c r="F6" s="34">
        <f t="shared" si="0"/>
        <v>6.7046226665990645</v>
      </c>
      <c r="G6" s="34">
        <f t="shared" si="1"/>
        <v>2.9112631169275409</v>
      </c>
      <c r="H6" s="49" t="str">
        <f t="shared" si="2"/>
        <v>2025-Q1</v>
      </c>
    </row>
    <row r="7" spans="1:10" x14ac:dyDescent="0.3">
      <c r="A7" s="15" t="s">
        <v>62</v>
      </c>
      <c r="B7" s="43">
        <v>45717</v>
      </c>
      <c r="C7" s="44">
        <v>642.03</v>
      </c>
      <c r="D7" s="45">
        <v>38.130000000000003</v>
      </c>
      <c r="E7" s="15">
        <v>0</v>
      </c>
      <c r="F7" s="34">
        <f t="shared" si="0"/>
        <v>6.4646350315701593</v>
      </c>
      <c r="G7" s="34">
        <f t="shared" si="1"/>
        <v>3.6410013738694724</v>
      </c>
      <c r="H7" s="49" t="str">
        <f t="shared" si="2"/>
        <v>2025-Q1</v>
      </c>
    </row>
    <row r="8" spans="1:10" x14ac:dyDescent="0.3">
      <c r="A8" s="15" t="s">
        <v>62</v>
      </c>
      <c r="B8" s="43">
        <v>45748</v>
      </c>
      <c r="C8" s="44">
        <v>874.67999999999984</v>
      </c>
      <c r="D8" s="45">
        <v>26.87</v>
      </c>
      <c r="E8" s="15">
        <v>0</v>
      </c>
      <c r="F8" s="34">
        <f t="shared" si="0"/>
        <v>6.7738581051821214</v>
      </c>
      <c r="G8" s="34">
        <f t="shared" si="1"/>
        <v>3.2910104226273997</v>
      </c>
      <c r="H8" s="49" t="str">
        <f t="shared" si="2"/>
        <v>2025-Q2</v>
      </c>
    </row>
    <row r="9" spans="1:10" x14ac:dyDescent="0.3">
      <c r="A9" s="15" t="s">
        <v>62</v>
      </c>
      <c r="B9" s="43">
        <v>45778</v>
      </c>
      <c r="C9" s="44">
        <v>676.64</v>
      </c>
      <c r="D9" s="45">
        <v>38.770000000000003</v>
      </c>
      <c r="E9" s="15">
        <v>0</v>
      </c>
      <c r="F9" s="34">
        <f t="shared" si="0"/>
        <v>6.5171393737241781</v>
      </c>
      <c r="G9" s="34">
        <f t="shared" si="1"/>
        <v>3.6576467516828379</v>
      </c>
      <c r="H9" s="49" t="str">
        <f t="shared" si="2"/>
        <v>2025-Q2</v>
      </c>
    </row>
    <row r="10" spans="1:10" x14ac:dyDescent="0.3">
      <c r="A10" s="15" t="s">
        <v>62</v>
      </c>
      <c r="B10" s="43">
        <v>45809</v>
      </c>
      <c r="C10" s="44">
        <v>868.2</v>
      </c>
      <c r="D10" s="45">
        <v>25.1</v>
      </c>
      <c r="E10" s="15">
        <v>0</v>
      </c>
      <c r="F10" s="34">
        <f t="shared" si="0"/>
        <v>6.7664221028654934</v>
      </c>
      <c r="G10" s="34">
        <f t="shared" si="1"/>
        <v>3.2228678461377385</v>
      </c>
      <c r="H10" s="49" t="str">
        <f t="shared" si="2"/>
        <v>2025-Q2</v>
      </c>
    </row>
    <row r="11" spans="1:10" x14ac:dyDescent="0.3">
      <c r="A11" s="15" t="s">
        <v>62</v>
      </c>
      <c r="B11" s="43">
        <v>45839</v>
      </c>
      <c r="C11" s="44">
        <v>697.36</v>
      </c>
      <c r="D11" s="45">
        <v>21.43</v>
      </c>
      <c r="E11" s="15">
        <v>0</v>
      </c>
      <c r="F11" s="34">
        <f t="shared" si="0"/>
        <v>6.5473017767033204</v>
      </c>
      <c r="G11" s="34">
        <f t="shared" si="1"/>
        <v>3.0647918094854858</v>
      </c>
      <c r="H11" s="49" t="str">
        <f t="shared" si="2"/>
        <v>2025-Q3</v>
      </c>
    </row>
    <row r="12" spans="1:10" x14ac:dyDescent="0.3">
      <c r="A12" s="15" t="s">
        <v>62</v>
      </c>
      <c r="B12" s="43">
        <v>45870</v>
      </c>
      <c r="C12" s="44">
        <v>819.02999999999986</v>
      </c>
      <c r="D12" s="45">
        <v>25.4</v>
      </c>
      <c r="E12" s="15">
        <v>0</v>
      </c>
      <c r="F12" s="34">
        <f t="shared" si="0"/>
        <v>6.7081207132188361</v>
      </c>
      <c r="G12" s="34">
        <f t="shared" si="1"/>
        <v>3.2347491740244907</v>
      </c>
      <c r="H12" s="49" t="str">
        <f t="shared" si="2"/>
        <v>2025-Q3</v>
      </c>
    </row>
    <row r="13" spans="1:10" x14ac:dyDescent="0.3">
      <c r="A13" s="15" t="s">
        <v>62</v>
      </c>
      <c r="B13" s="43">
        <v>45901</v>
      </c>
      <c r="C13" s="44">
        <v>935.72</v>
      </c>
      <c r="D13" s="45">
        <v>38.4</v>
      </c>
      <c r="E13" s="15">
        <v>0</v>
      </c>
      <c r="F13" s="34">
        <f t="shared" si="0"/>
        <v>6.8413162864255668</v>
      </c>
      <c r="G13" s="34">
        <f t="shared" si="1"/>
        <v>3.648057459593681</v>
      </c>
      <c r="H13" s="49" t="str">
        <f t="shared" si="2"/>
        <v>2025-Q3</v>
      </c>
    </row>
    <row r="14" spans="1:10" x14ac:dyDescent="0.3">
      <c r="A14" s="15" t="s">
        <v>62</v>
      </c>
      <c r="B14" s="43">
        <v>45931</v>
      </c>
      <c r="C14" s="44">
        <v>1067.93</v>
      </c>
      <c r="D14" s="45">
        <v>35.93</v>
      </c>
      <c r="E14" s="15">
        <v>0</v>
      </c>
      <c r="F14" s="34">
        <f t="shared" si="0"/>
        <v>6.973477474300938</v>
      </c>
      <c r="G14" s="34">
        <f t="shared" si="1"/>
        <v>3.5815726011254272</v>
      </c>
      <c r="H14" s="49" t="str">
        <f t="shared" si="2"/>
        <v>2025-Q4</v>
      </c>
    </row>
    <row r="15" spans="1:10" x14ac:dyDescent="0.3">
      <c r="A15" s="15" t="s">
        <v>62</v>
      </c>
      <c r="B15" s="43">
        <v>45962</v>
      </c>
      <c r="C15" s="44">
        <v>1584.33</v>
      </c>
      <c r="D15" s="45">
        <v>50.93</v>
      </c>
      <c r="E15" s="15">
        <v>0</v>
      </c>
      <c r="F15" s="34">
        <f t="shared" si="0"/>
        <v>7.367916884009329</v>
      </c>
      <c r="G15" s="34">
        <f t="shared" si="1"/>
        <v>3.9304521408965134</v>
      </c>
      <c r="H15" s="49" t="str">
        <f t="shared" si="2"/>
        <v>2025-Q4</v>
      </c>
    </row>
    <row r="16" spans="1:10" x14ac:dyDescent="0.3">
      <c r="A16" s="15" t="s">
        <v>62</v>
      </c>
      <c r="B16" s="43">
        <v>45992</v>
      </c>
      <c r="C16" s="44">
        <v>1496.35</v>
      </c>
      <c r="D16" s="45">
        <v>53.6</v>
      </c>
      <c r="E16" s="15">
        <v>0</v>
      </c>
      <c r="F16" s="34">
        <f t="shared" si="0"/>
        <v>7.3107840883899513</v>
      </c>
      <c r="G16" s="34">
        <f t="shared" si="1"/>
        <v>3.9815490680767565</v>
      </c>
      <c r="H16" s="49" t="str">
        <f t="shared" si="2"/>
        <v>2025-Q4</v>
      </c>
    </row>
    <row r="17" spans="1:8" x14ac:dyDescent="0.3">
      <c r="A17" s="15" t="s">
        <v>62</v>
      </c>
      <c r="B17" s="43">
        <v>46023</v>
      </c>
      <c r="C17" s="44">
        <v>872.65</v>
      </c>
      <c r="D17" s="45">
        <v>45.4</v>
      </c>
      <c r="E17" s="15">
        <v>0</v>
      </c>
      <c r="F17" s="34">
        <f t="shared" si="0"/>
        <v>6.7715345590708456</v>
      </c>
      <c r="G17" s="34">
        <f t="shared" si="1"/>
        <v>3.8155121050473024</v>
      </c>
      <c r="H17" s="49" t="str">
        <f t="shared" si="2"/>
        <v>2026-Q1</v>
      </c>
    </row>
    <row r="18" spans="1:8" x14ac:dyDescent="0.3">
      <c r="A18" s="15" t="s">
        <v>62</v>
      </c>
      <c r="B18" s="43">
        <v>46054</v>
      </c>
      <c r="C18" s="44">
        <v>987.04</v>
      </c>
      <c r="D18" s="45">
        <v>30.77</v>
      </c>
      <c r="E18" s="15">
        <v>0</v>
      </c>
      <c r="F18" s="34">
        <f t="shared" si="0"/>
        <v>6.8947105654613283</v>
      </c>
      <c r="G18" s="34">
        <f t="shared" si="1"/>
        <v>3.4265401893339504</v>
      </c>
      <c r="H18" s="49" t="str">
        <f t="shared" si="2"/>
        <v>2026-Q1</v>
      </c>
    </row>
    <row r="19" spans="1:8" x14ac:dyDescent="0.3">
      <c r="A19" s="15" t="s">
        <v>62</v>
      </c>
      <c r="B19" s="43">
        <v>46082</v>
      </c>
      <c r="C19" s="44">
        <v>990.18</v>
      </c>
      <c r="D19" s="45">
        <v>33.67</v>
      </c>
      <c r="E19" s="15">
        <v>0</v>
      </c>
      <c r="F19" s="34">
        <f t="shared" si="0"/>
        <v>6.8978867447835315</v>
      </c>
      <c r="G19" s="34">
        <f t="shared" si="1"/>
        <v>3.5166072331729832</v>
      </c>
      <c r="H19" s="49" t="str">
        <f t="shared" si="2"/>
        <v>2026-Q1</v>
      </c>
    </row>
    <row r="20" spans="1:8" x14ac:dyDescent="0.3">
      <c r="A20" s="15" t="s">
        <v>62</v>
      </c>
      <c r="B20" s="43">
        <v>46113</v>
      </c>
      <c r="C20" s="44">
        <v>1153.2</v>
      </c>
      <c r="D20" s="45">
        <v>43.1</v>
      </c>
      <c r="E20" s="15">
        <v>0</v>
      </c>
      <c r="F20" s="34">
        <f t="shared" si="0"/>
        <v>7.0502959657642474</v>
      </c>
      <c r="G20" s="34">
        <f t="shared" si="1"/>
        <v>3.763522997109702</v>
      </c>
      <c r="H20" s="49" t="str">
        <f t="shared" si="2"/>
        <v>2026-Q2</v>
      </c>
    </row>
    <row r="21" spans="1:8" x14ac:dyDescent="0.3">
      <c r="A21" s="15" t="s">
        <v>62</v>
      </c>
      <c r="B21" s="43">
        <v>46143</v>
      </c>
      <c r="C21" s="44">
        <v>687.27</v>
      </c>
      <c r="D21" s="45">
        <v>28.53</v>
      </c>
      <c r="E21" s="15">
        <v>0</v>
      </c>
      <c r="F21" s="34">
        <f t="shared" si="0"/>
        <v>6.5327272281133659</v>
      </c>
      <c r="G21" s="34">
        <f t="shared" si="1"/>
        <v>3.3509561652254085</v>
      </c>
      <c r="H21" s="49" t="str">
        <f t="shared" si="2"/>
        <v>2026-Q2</v>
      </c>
    </row>
    <row r="22" spans="1:8" x14ac:dyDescent="0.3">
      <c r="A22" s="15" t="s">
        <v>62</v>
      </c>
      <c r="B22" s="43">
        <v>46174</v>
      </c>
      <c r="C22" s="44">
        <v>931.21</v>
      </c>
      <c r="D22" s="45">
        <v>42</v>
      </c>
      <c r="E22" s="15">
        <v>0</v>
      </c>
      <c r="F22" s="34">
        <f t="shared" si="0"/>
        <v>6.8364848157511275</v>
      </c>
      <c r="G22" s="34">
        <f t="shared" si="1"/>
        <v>3.7376696182833684</v>
      </c>
      <c r="H22" s="49" t="str">
        <f t="shared" si="2"/>
        <v>2026-Q2</v>
      </c>
    </row>
    <row r="23" spans="1:8" x14ac:dyDescent="0.3">
      <c r="A23" s="15" t="s">
        <v>62</v>
      </c>
      <c r="B23" s="43">
        <v>46204</v>
      </c>
      <c r="C23" s="44">
        <v>775.65</v>
      </c>
      <c r="D23" s="45">
        <v>39.369999999999997</v>
      </c>
      <c r="E23" s="15">
        <v>1</v>
      </c>
      <c r="F23" s="34">
        <f t="shared" si="0"/>
        <v>6.6537013875103401</v>
      </c>
      <c r="G23" s="34">
        <f t="shared" si="1"/>
        <v>3.6730041049556461</v>
      </c>
      <c r="H23" s="49" t="str">
        <f t="shared" si="2"/>
        <v>2026-Q3</v>
      </c>
    </row>
    <row r="24" spans="1:8" x14ac:dyDescent="0.3">
      <c r="A24" s="15" t="s">
        <v>62</v>
      </c>
      <c r="B24" s="43">
        <v>46235</v>
      </c>
      <c r="C24" s="44">
        <v>960.81</v>
      </c>
      <c r="D24" s="45">
        <v>23.7</v>
      </c>
      <c r="E24" s="15">
        <v>1</v>
      </c>
      <c r="F24" s="34">
        <f t="shared" si="0"/>
        <v>6.8677766787049501</v>
      </c>
      <c r="G24" s="34">
        <f t="shared" si="1"/>
        <v>3.1654750481410856</v>
      </c>
      <c r="H24" s="49" t="str">
        <f t="shared" si="2"/>
        <v>2026-Q3</v>
      </c>
    </row>
    <row r="25" spans="1:8" x14ac:dyDescent="0.3">
      <c r="A25" s="15" t="s">
        <v>62</v>
      </c>
      <c r="B25" s="43">
        <v>46266</v>
      </c>
      <c r="C25" s="44">
        <v>1380.02</v>
      </c>
      <c r="D25" s="45">
        <v>52.47</v>
      </c>
      <c r="E25" s="15">
        <v>1</v>
      </c>
      <c r="F25" s="34">
        <f t="shared" si="0"/>
        <v>7.2298532707998548</v>
      </c>
      <c r="G25" s="34">
        <f t="shared" si="1"/>
        <v>3.9602415776986204</v>
      </c>
      <c r="H25" s="49" t="str">
        <f t="shared" si="2"/>
        <v>2026-Q3</v>
      </c>
    </row>
    <row r="26" spans="1:8" x14ac:dyDescent="0.3">
      <c r="A26" s="15" t="s">
        <v>67</v>
      </c>
      <c r="B26" s="43">
        <v>45566</v>
      </c>
      <c r="C26" s="44">
        <v>1438.45</v>
      </c>
      <c r="D26" s="45">
        <v>55.6</v>
      </c>
      <c r="E26" s="15">
        <v>0</v>
      </c>
      <c r="F26" s="34">
        <f t="shared" si="0"/>
        <v>7.2713214239585957</v>
      </c>
      <c r="G26" s="34">
        <f t="shared" si="1"/>
        <v>4.0181832012565364</v>
      </c>
      <c r="H26" s="49" t="str">
        <f t="shared" si="2"/>
        <v>2024-Q4</v>
      </c>
    </row>
    <row r="27" spans="1:8" x14ac:dyDescent="0.3">
      <c r="A27" s="15" t="s">
        <v>67</v>
      </c>
      <c r="B27" s="43">
        <v>45597</v>
      </c>
      <c r="C27" s="44">
        <v>1734.92</v>
      </c>
      <c r="D27" s="45">
        <v>83.02</v>
      </c>
      <c r="E27" s="15">
        <v>0</v>
      </c>
      <c r="F27" s="34">
        <f t="shared" si="0"/>
        <v>7.4587165818077974</v>
      </c>
      <c r="G27" s="34">
        <f t="shared" si="1"/>
        <v>4.4190815426248928</v>
      </c>
      <c r="H27" s="49" t="str">
        <f t="shared" si="2"/>
        <v>2024-Q4</v>
      </c>
    </row>
    <row r="28" spans="1:8" x14ac:dyDescent="0.3">
      <c r="A28" s="15" t="s">
        <v>67</v>
      </c>
      <c r="B28" s="43">
        <v>45627</v>
      </c>
      <c r="C28" s="44">
        <v>2272.38</v>
      </c>
      <c r="D28" s="45">
        <v>91.9</v>
      </c>
      <c r="E28" s="15">
        <v>0</v>
      </c>
      <c r="F28" s="34">
        <f t="shared" si="0"/>
        <v>7.7285830193768579</v>
      </c>
      <c r="G28" s="34">
        <f t="shared" si="1"/>
        <v>4.5207010293616419</v>
      </c>
      <c r="H28" s="49" t="str">
        <f t="shared" si="2"/>
        <v>2024-Q4</v>
      </c>
    </row>
    <row r="29" spans="1:8" x14ac:dyDescent="0.3">
      <c r="A29" s="15" t="s">
        <v>67</v>
      </c>
      <c r="B29" s="43">
        <v>45658</v>
      </c>
      <c r="C29" s="44">
        <v>1712.58</v>
      </c>
      <c r="D29" s="45">
        <v>78.12</v>
      </c>
      <c r="E29" s="15">
        <v>0</v>
      </c>
      <c r="F29" s="34">
        <f t="shared" si="0"/>
        <v>7.4457562843737204</v>
      </c>
      <c r="G29" s="34">
        <f t="shared" si="1"/>
        <v>4.3582461060084778</v>
      </c>
      <c r="H29" s="49" t="str">
        <f t="shared" si="2"/>
        <v>2025-Q1</v>
      </c>
    </row>
    <row r="30" spans="1:8" x14ac:dyDescent="0.3">
      <c r="A30" s="15" t="s">
        <v>67</v>
      </c>
      <c r="B30" s="43">
        <v>45689</v>
      </c>
      <c r="C30" s="44">
        <v>1504.03</v>
      </c>
      <c r="D30" s="45">
        <v>73.97</v>
      </c>
      <c r="E30" s="15">
        <v>0</v>
      </c>
      <c r="F30" s="34">
        <f t="shared" si="0"/>
        <v>7.315903451119361</v>
      </c>
      <c r="G30" s="34">
        <f t="shared" si="1"/>
        <v>4.3036596055997762</v>
      </c>
      <c r="H30" s="49" t="str">
        <f t="shared" si="2"/>
        <v>2025-Q1</v>
      </c>
    </row>
    <row r="31" spans="1:8" x14ac:dyDescent="0.3">
      <c r="A31" s="15" t="s">
        <v>67</v>
      </c>
      <c r="B31" s="43">
        <v>45717</v>
      </c>
      <c r="C31" s="44">
        <v>1596.21</v>
      </c>
      <c r="D31" s="45">
        <v>59.73</v>
      </c>
      <c r="E31" s="15">
        <v>0</v>
      </c>
      <c r="F31" s="34">
        <f t="shared" si="0"/>
        <v>7.3753873483013717</v>
      </c>
      <c r="G31" s="34">
        <f t="shared" si="1"/>
        <v>4.0898344067442149</v>
      </c>
      <c r="H31" s="49" t="str">
        <f t="shared" si="2"/>
        <v>2025-Q1</v>
      </c>
    </row>
    <row r="32" spans="1:8" x14ac:dyDescent="0.3">
      <c r="A32" s="15" t="s">
        <v>67</v>
      </c>
      <c r="B32" s="43">
        <v>45748</v>
      </c>
      <c r="C32" s="44">
        <v>1880.98</v>
      </c>
      <c r="D32" s="45">
        <v>77.72</v>
      </c>
      <c r="E32" s="15">
        <v>0</v>
      </c>
      <c r="F32" s="34">
        <f t="shared" si="0"/>
        <v>7.5395481966022917</v>
      </c>
      <c r="G32" s="34">
        <f t="shared" si="1"/>
        <v>4.3531126245092393</v>
      </c>
      <c r="H32" s="49" t="str">
        <f t="shared" si="2"/>
        <v>2025-Q2</v>
      </c>
    </row>
    <row r="33" spans="1:8" x14ac:dyDescent="0.3">
      <c r="A33" s="15" t="s">
        <v>67</v>
      </c>
      <c r="B33" s="43">
        <v>45778</v>
      </c>
      <c r="C33" s="44">
        <v>1668.95</v>
      </c>
      <c r="D33" s="45">
        <v>74.53</v>
      </c>
      <c r="E33" s="15">
        <v>0</v>
      </c>
      <c r="F33" s="34">
        <f t="shared" si="0"/>
        <v>7.4199499651543661</v>
      </c>
      <c r="G33" s="34">
        <f t="shared" si="1"/>
        <v>4.3112017288936029</v>
      </c>
      <c r="H33" s="49" t="str">
        <f t="shared" si="2"/>
        <v>2025-Q2</v>
      </c>
    </row>
    <row r="34" spans="1:8" x14ac:dyDescent="0.3">
      <c r="A34" s="15" t="s">
        <v>67</v>
      </c>
      <c r="B34" s="43">
        <v>45809</v>
      </c>
      <c r="C34" s="44">
        <v>1579.25</v>
      </c>
      <c r="D34" s="45">
        <v>75.400000000000006</v>
      </c>
      <c r="E34" s="15">
        <v>0</v>
      </c>
      <c r="F34" s="34">
        <f t="shared" ref="F34:F65" si="3">LN(C34)</f>
        <v>7.3647053297788094</v>
      </c>
      <c r="G34" s="34">
        <f t="shared" ref="G34:G65" si="4">LN(D34)</f>
        <v>4.3228072750139104</v>
      </c>
      <c r="H34" s="49" t="str">
        <f t="shared" ref="H34:H65" si="5">YEAR(B34)&amp;"-Q"&amp;ROUNDUP(MONTH(B34)/3,0)</f>
        <v>2025-Q2</v>
      </c>
    </row>
    <row r="35" spans="1:8" x14ac:dyDescent="0.3">
      <c r="A35" s="15" t="s">
        <v>67</v>
      </c>
      <c r="B35" s="43">
        <v>45839</v>
      </c>
      <c r="C35" s="44">
        <v>1771.69</v>
      </c>
      <c r="D35" s="45">
        <v>67.23</v>
      </c>
      <c r="E35" s="15">
        <v>0</v>
      </c>
      <c r="F35" s="34">
        <f t="shared" si="3"/>
        <v>7.479689172294024</v>
      </c>
      <c r="G35" s="34">
        <f t="shared" si="4"/>
        <v>4.2081195764809456</v>
      </c>
      <c r="H35" s="49" t="str">
        <f t="shared" si="5"/>
        <v>2025-Q3</v>
      </c>
    </row>
    <row r="36" spans="1:8" x14ac:dyDescent="0.3">
      <c r="A36" s="15" t="s">
        <v>67</v>
      </c>
      <c r="B36" s="43">
        <v>45870</v>
      </c>
      <c r="C36" s="44">
        <v>1461.5</v>
      </c>
      <c r="D36" s="45">
        <v>58.53</v>
      </c>
      <c r="E36" s="15">
        <v>0</v>
      </c>
      <c r="F36" s="34">
        <f t="shared" si="3"/>
        <v>7.2872185845513009</v>
      </c>
      <c r="G36" s="34">
        <f t="shared" si="4"/>
        <v>4.0695394433031291</v>
      </c>
      <c r="H36" s="49" t="str">
        <f t="shared" si="5"/>
        <v>2025-Q3</v>
      </c>
    </row>
    <row r="37" spans="1:8" x14ac:dyDescent="0.3">
      <c r="A37" s="15" t="s">
        <v>67</v>
      </c>
      <c r="B37" s="43">
        <v>45901</v>
      </c>
      <c r="C37" s="44">
        <v>1763.81</v>
      </c>
      <c r="D37" s="45">
        <v>76.47</v>
      </c>
      <c r="E37" s="15">
        <v>0</v>
      </c>
      <c r="F37" s="34">
        <f t="shared" si="3"/>
        <v>7.4752315210150577</v>
      </c>
      <c r="G37" s="34">
        <f t="shared" si="4"/>
        <v>4.3368985070561337</v>
      </c>
      <c r="H37" s="49" t="str">
        <f t="shared" si="5"/>
        <v>2025-Q3</v>
      </c>
    </row>
    <row r="38" spans="1:8" x14ac:dyDescent="0.3">
      <c r="A38" s="15" t="s">
        <v>67</v>
      </c>
      <c r="B38" s="43">
        <v>45931</v>
      </c>
      <c r="C38" s="44">
        <v>1645.56</v>
      </c>
      <c r="D38" s="45">
        <v>73.67</v>
      </c>
      <c r="E38" s="15">
        <v>0</v>
      </c>
      <c r="F38" s="34">
        <f t="shared" si="3"/>
        <v>7.4058360307997626</v>
      </c>
      <c r="G38" s="34">
        <f t="shared" si="4"/>
        <v>4.2995956606947221</v>
      </c>
      <c r="H38" s="49" t="str">
        <f t="shared" si="5"/>
        <v>2025-Q4</v>
      </c>
    </row>
    <row r="39" spans="1:8" x14ac:dyDescent="0.3">
      <c r="A39" s="15" t="s">
        <v>67</v>
      </c>
      <c r="B39" s="43">
        <v>45962</v>
      </c>
      <c r="C39" s="44">
        <v>2967.14</v>
      </c>
      <c r="D39" s="45">
        <v>95.1</v>
      </c>
      <c r="E39" s="15">
        <v>0</v>
      </c>
      <c r="F39" s="34">
        <f t="shared" si="3"/>
        <v>7.995353804887082</v>
      </c>
      <c r="G39" s="34">
        <f t="shared" si="4"/>
        <v>4.5549289695513444</v>
      </c>
      <c r="H39" s="49" t="str">
        <f t="shared" si="5"/>
        <v>2025-Q4</v>
      </c>
    </row>
    <row r="40" spans="1:8" x14ac:dyDescent="0.3">
      <c r="A40" s="15" t="s">
        <v>67</v>
      </c>
      <c r="B40" s="43">
        <v>45992</v>
      </c>
      <c r="C40" s="44">
        <v>2998.73</v>
      </c>
      <c r="D40" s="45">
        <v>99.93</v>
      </c>
      <c r="E40" s="15">
        <v>0</v>
      </c>
      <c r="F40" s="34">
        <f t="shared" si="3"/>
        <v>8.0059441446860617</v>
      </c>
      <c r="G40" s="34">
        <f t="shared" si="4"/>
        <v>4.604469940873698</v>
      </c>
      <c r="H40" s="49" t="str">
        <f t="shared" si="5"/>
        <v>2025-Q4</v>
      </c>
    </row>
    <row r="41" spans="1:8" x14ac:dyDescent="0.3">
      <c r="A41" s="15" t="s">
        <v>67</v>
      </c>
      <c r="B41" s="43">
        <v>46023</v>
      </c>
      <c r="C41" s="44">
        <v>2332.77</v>
      </c>
      <c r="D41" s="45">
        <v>98.5</v>
      </c>
      <c r="E41" s="15">
        <v>0</v>
      </c>
      <c r="F41" s="34">
        <f t="shared" si="3"/>
        <v>7.7548116816493433</v>
      </c>
      <c r="G41" s="34">
        <f t="shared" si="4"/>
        <v>4.5900565481780431</v>
      </c>
      <c r="H41" s="49" t="str">
        <f t="shared" si="5"/>
        <v>2026-Q1</v>
      </c>
    </row>
    <row r="42" spans="1:8" x14ac:dyDescent="0.3">
      <c r="A42" s="15" t="s">
        <v>67</v>
      </c>
      <c r="B42" s="43">
        <v>46054</v>
      </c>
      <c r="C42" s="44">
        <v>1825.15</v>
      </c>
      <c r="D42" s="45">
        <v>86.23</v>
      </c>
      <c r="E42" s="15">
        <v>0</v>
      </c>
      <c r="F42" s="34">
        <f t="shared" si="3"/>
        <v>7.5094174544198546</v>
      </c>
      <c r="G42" s="34">
        <f t="shared" si="4"/>
        <v>4.4570181449642332</v>
      </c>
      <c r="H42" s="49" t="str">
        <f t="shared" si="5"/>
        <v>2026-Q1</v>
      </c>
    </row>
    <row r="43" spans="1:8" x14ac:dyDescent="0.3">
      <c r="A43" s="15" t="s">
        <v>67</v>
      </c>
      <c r="B43" s="43">
        <v>46082</v>
      </c>
      <c r="C43" s="44">
        <v>2099.5700000000002</v>
      </c>
      <c r="D43" s="45">
        <v>82.43</v>
      </c>
      <c r="E43" s="15">
        <v>0</v>
      </c>
      <c r="F43" s="34">
        <f t="shared" si="3"/>
        <v>7.6494878408401714</v>
      </c>
      <c r="G43" s="34">
        <f t="shared" si="4"/>
        <v>4.411949448325136</v>
      </c>
      <c r="H43" s="49" t="str">
        <f t="shared" si="5"/>
        <v>2026-Q1</v>
      </c>
    </row>
    <row r="44" spans="1:8" x14ac:dyDescent="0.3">
      <c r="A44" s="15" t="s">
        <v>67</v>
      </c>
      <c r="B44" s="43">
        <v>46113</v>
      </c>
      <c r="C44" s="44">
        <v>1977.91</v>
      </c>
      <c r="D44" s="45">
        <v>84.2</v>
      </c>
      <c r="E44" s="15">
        <v>0</v>
      </c>
      <c r="F44" s="34">
        <f t="shared" si="3"/>
        <v>7.5897960106419164</v>
      </c>
      <c r="G44" s="34">
        <f t="shared" si="4"/>
        <v>4.4331949212482815</v>
      </c>
      <c r="H44" s="49" t="str">
        <f t="shared" si="5"/>
        <v>2026-Q2</v>
      </c>
    </row>
    <row r="45" spans="1:8" x14ac:dyDescent="0.3">
      <c r="A45" s="15" t="s">
        <v>67</v>
      </c>
      <c r="B45" s="43">
        <v>46143</v>
      </c>
      <c r="C45" s="44">
        <v>2284.65</v>
      </c>
      <c r="D45" s="45">
        <v>97.6</v>
      </c>
      <c r="E45" s="15">
        <v>0</v>
      </c>
      <c r="F45" s="34">
        <f t="shared" si="3"/>
        <v>7.7339681187296225</v>
      </c>
      <c r="G45" s="34">
        <f t="shared" si="4"/>
        <v>4.580877493419047</v>
      </c>
      <c r="H45" s="49" t="str">
        <f t="shared" si="5"/>
        <v>2026-Q2</v>
      </c>
    </row>
    <row r="46" spans="1:8" x14ac:dyDescent="0.3">
      <c r="A46" s="15" t="s">
        <v>67</v>
      </c>
      <c r="B46" s="43">
        <v>46174</v>
      </c>
      <c r="C46" s="44">
        <v>1790.18</v>
      </c>
      <c r="D46" s="45">
        <v>80.17</v>
      </c>
      <c r="E46" s="15">
        <v>0</v>
      </c>
      <c r="F46" s="34">
        <f t="shared" si="3"/>
        <v>7.4900714524383352</v>
      </c>
      <c r="G46" s="34">
        <f t="shared" si="4"/>
        <v>4.3841493800548603</v>
      </c>
      <c r="H46" s="49" t="str">
        <f t="shared" si="5"/>
        <v>2026-Q2</v>
      </c>
    </row>
    <row r="47" spans="1:8" x14ac:dyDescent="0.3">
      <c r="A47" s="15" t="s">
        <v>67</v>
      </c>
      <c r="B47" s="43">
        <v>46204</v>
      </c>
      <c r="C47" s="44">
        <v>1597.57</v>
      </c>
      <c r="D47" s="45">
        <v>61.2</v>
      </c>
      <c r="E47" s="15">
        <v>1</v>
      </c>
      <c r="F47" s="34">
        <f t="shared" si="3"/>
        <v>7.3762390037580428</v>
      </c>
      <c r="G47" s="34">
        <f t="shared" si="4"/>
        <v>4.1141471895182802</v>
      </c>
      <c r="H47" s="49" t="str">
        <f t="shared" si="5"/>
        <v>2026-Q3</v>
      </c>
    </row>
    <row r="48" spans="1:8" x14ac:dyDescent="0.3">
      <c r="A48" s="15" t="s">
        <v>67</v>
      </c>
      <c r="B48" s="43">
        <v>46235</v>
      </c>
      <c r="C48" s="44">
        <v>1676.72</v>
      </c>
      <c r="D48" s="45">
        <v>76.13</v>
      </c>
      <c r="E48" s="15">
        <v>1</v>
      </c>
      <c r="F48" s="34">
        <f t="shared" si="3"/>
        <v>7.4245947830649044</v>
      </c>
      <c r="G48" s="34">
        <f t="shared" si="4"/>
        <v>4.3324424053181207</v>
      </c>
      <c r="H48" s="49" t="str">
        <f t="shared" si="5"/>
        <v>2026-Q3</v>
      </c>
    </row>
    <row r="49" spans="1:8" x14ac:dyDescent="0.3">
      <c r="A49" s="15" t="s">
        <v>67</v>
      </c>
      <c r="B49" s="43">
        <v>46266</v>
      </c>
      <c r="C49" s="44">
        <v>2100.5</v>
      </c>
      <c r="D49" s="45">
        <v>84.8</v>
      </c>
      <c r="E49" s="15">
        <v>1</v>
      </c>
      <c r="F49" s="34">
        <f t="shared" si="3"/>
        <v>7.6499306906094366</v>
      </c>
      <c r="G49" s="34">
        <f t="shared" si="4"/>
        <v>4.4402955427978572</v>
      </c>
      <c r="H49" s="49" t="str">
        <f t="shared" si="5"/>
        <v>2026-Q3</v>
      </c>
    </row>
    <row r="50" spans="1:8" x14ac:dyDescent="0.3">
      <c r="A50" s="15" t="s">
        <v>69</v>
      </c>
      <c r="B50" s="43">
        <v>45566</v>
      </c>
      <c r="C50" s="44">
        <v>1415.61</v>
      </c>
      <c r="D50" s="45">
        <v>19.899999999999999</v>
      </c>
      <c r="E50" s="15">
        <v>0</v>
      </c>
      <c r="F50" s="34">
        <f t="shared" si="3"/>
        <v>7.25531581258877</v>
      </c>
      <c r="G50" s="34">
        <f t="shared" si="4"/>
        <v>2.9907197317304468</v>
      </c>
      <c r="H50" s="49" t="str">
        <f t="shared" si="5"/>
        <v>2024-Q4</v>
      </c>
    </row>
    <row r="51" spans="1:8" x14ac:dyDescent="0.3">
      <c r="A51" s="15" t="s">
        <v>69</v>
      </c>
      <c r="B51" s="43">
        <v>45597</v>
      </c>
      <c r="C51" s="44">
        <v>2561.34</v>
      </c>
      <c r="D51" s="45">
        <v>43.42</v>
      </c>
      <c r="E51" s="15">
        <v>0</v>
      </c>
      <c r="F51" s="34">
        <f t="shared" si="3"/>
        <v>7.8482858380279863</v>
      </c>
      <c r="G51" s="34">
        <f t="shared" si="4"/>
        <v>3.7709201644501458</v>
      </c>
      <c r="H51" s="49" t="str">
        <f t="shared" si="5"/>
        <v>2024-Q4</v>
      </c>
    </row>
    <row r="52" spans="1:8" x14ac:dyDescent="0.3">
      <c r="A52" s="15" t="s">
        <v>69</v>
      </c>
      <c r="B52" s="43">
        <v>45627</v>
      </c>
      <c r="C52" s="44">
        <v>4065.82</v>
      </c>
      <c r="D52" s="45">
        <v>52.2</v>
      </c>
      <c r="E52" s="15">
        <v>0</v>
      </c>
      <c r="F52" s="34">
        <f t="shared" si="3"/>
        <v>8.3103707236559803</v>
      </c>
      <c r="G52" s="34">
        <f t="shared" si="4"/>
        <v>3.9550824948885932</v>
      </c>
      <c r="H52" s="49" t="str">
        <f t="shared" si="5"/>
        <v>2024-Q4</v>
      </c>
    </row>
    <row r="53" spans="1:8" x14ac:dyDescent="0.3">
      <c r="A53" s="15" t="s">
        <v>69</v>
      </c>
      <c r="B53" s="43">
        <v>45658</v>
      </c>
      <c r="C53" s="44">
        <v>2298.98</v>
      </c>
      <c r="D53" s="45">
        <v>35.43</v>
      </c>
      <c r="E53" s="15">
        <v>0</v>
      </c>
      <c r="F53" s="34">
        <f t="shared" si="3"/>
        <v>7.7402208252908045</v>
      </c>
      <c r="G53" s="34">
        <f t="shared" si="4"/>
        <v>3.5675589188773804</v>
      </c>
      <c r="H53" s="49" t="str">
        <f t="shared" si="5"/>
        <v>2025-Q1</v>
      </c>
    </row>
    <row r="54" spans="1:8" x14ac:dyDescent="0.3">
      <c r="A54" s="15" t="s">
        <v>69</v>
      </c>
      <c r="B54" s="43">
        <v>45689</v>
      </c>
      <c r="C54" s="44">
        <v>1585.31</v>
      </c>
      <c r="D54" s="45">
        <v>32.729999999999997</v>
      </c>
      <c r="E54" s="15">
        <v>0</v>
      </c>
      <c r="F54" s="34">
        <f t="shared" si="3"/>
        <v>7.3685352507836175</v>
      </c>
      <c r="G54" s="34">
        <f t="shared" si="4"/>
        <v>3.4882920885130893</v>
      </c>
      <c r="H54" s="49" t="str">
        <f t="shared" si="5"/>
        <v>2025-Q1</v>
      </c>
    </row>
    <row r="55" spans="1:8" x14ac:dyDescent="0.3">
      <c r="A55" s="15" t="s">
        <v>69</v>
      </c>
      <c r="B55" s="43">
        <v>45717</v>
      </c>
      <c r="C55" s="44">
        <v>2133.11</v>
      </c>
      <c r="D55" s="45">
        <v>27.5</v>
      </c>
      <c r="E55" s="15">
        <v>0</v>
      </c>
      <c r="F55" s="34">
        <f t="shared" si="3"/>
        <v>7.6653362876995352</v>
      </c>
      <c r="G55" s="34">
        <f t="shared" si="4"/>
        <v>3.3141860046725258</v>
      </c>
      <c r="H55" s="49" t="str">
        <f t="shared" si="5"/>
        <v>2025-Q1</v>
      </c>
    </row>
    <row r="56" spans="1:8" x14ac:dyDescent="0.3">
      <c r="A56" s="15" t="s">
        <v>69</v>
      </c>
      <c r="B56" s="43">
        <v>45748</v>
      </c>
      <c r="C56" s="44">
        <v>1826.91</v>
      </c>
      <c r="D56" s="45">
        <v>38.369999999999997</v>
      </c>
      <c r="E56" s="15">
        <v>0</v>
      </c>
      <c r="F56" s="34">
        <f t="shared" si="3"/>
        <v>7.5103812940808963</v>
      </c>
      <c r="G56" s="34">
        <f t="shared" si="4"/>
        <v>3.6472759042588612</v>
      </c>
      <c r="H56" s="49" t="str">
        <f t="shared" si="5"/>
        <v>2025-Q2</v>
      </c>
    </row>
    <row r="57" spans="1:8" x14ac:dyDescent="0.3">
      <c r="A57" s="15" t="s">
        <v>69</v>
      </c>
      <c r="B57" s="43">
        <v>45778</v>
      </c>
      <c r="C57" s="44">
        <v>2181.15</v>
      </c>
      <c r="D57" s="45">
        <v>31.97</v>
      </c>
      <c r="E57" s="15">
        <v>0</v>
      </c>
      <c r="F57" s="34">
        <f t="shared" si="3"/>
        <v>7.6876075396276047</v>
      </c>
      <c r="G57" s="34">
        <f t="shared" si="4"/>
        <v>3.4647979630717503</v>
      </c>
      <c r="H57" s="49" t="str">
        <f t="shared" si="5"/>
        <v>2025-Q2</v>
      </c>
    </row>
    <row r="58" spans="1:8" x14ac:dyDescent="0.3">
      <c r="A58" s="15" t="s">
        <v>69</v>
      </c>
      <c r="B58" s="43">
        <v>45809</v>
      </c>
      <c r="C58" s="44">
        <v>2136.23</v>
      </c>
      <c r="D58" s="45">
        <v>43.22</v>
      </c>
      <c r="E58" s="15">
        <v>0</v>
      </c>
      <c r="F58" s="34">
        <f t="shared" si="3"/>
        <v>7.6667978721858576</v>
      </c>
      <c r="G58" s="34">
        <f t="shared" si="4"/>
        <v>3.76630335107874</v>
      </c>
      <c r="H58" s="49" t="str">
        <f t="shared" si="5"/>
        <v>2025-Q2</v>
      </c>
    </row>
    <row r="59" spans="1:8" x14ac:dyDescent="0.3">
      <c r="A59" s="15" t="s">
        <v>69</v>
      </c>
      <c r="B59" s="43">
        <v>45839</v>
      </c>
      <c r="C59" s="44">
        <v>1892.54</v>
      </c>
      <c r="D59" s="45">
        <v>43.03</v>
      </c>
      <c r="E59" s="15">
        <v>0</v>
      </c>
      <c r="F59" s="34">
        <f t="shared" si="3"/>
        <v>7.5456751211516488</v>
      </c>
      <c r="G59" s="34">
        <f t="shared" si="4"/>
        <v>3.7618975468505083</v>
      </c>
      <c r="H59" s="49" t="str">
        <f t="shared" si="5"/>
        <v>2025-Q3</v>
      </c>
    </row>
    <row r="60" spans="1:8" x14ac:dyDescent="0.3">
      <c r="A60" s="15" t="s">
        <v>69</v>
      </c>
      <c r="B60" s="43">
        <v>45870</v>
      </c>
      <c r="C60" s="44">
        <v>1597.81</v>
      </c>
      <c r="D60" s="45">
        <v>37</v>
      </c>
      <c r="E60" s="15">
        <v>0</v>
      </c>
      <c r="F60" s="34">
        <f t="shared" si="3"/>
        <v>7.3763892206339392</v>
      </c>
      <c r="G60" s="34">
        <f t="shared" si="4"/>
        <v>3.6109179126442243</v>
      </c>
      <c r="H60" s="49" t="str">
        <f t="shared" si="5"/>
        <v>2025-Q3</v>
      </c>
    </row>
    <row r="61" spans="1:8" x14ac:dyDescent="0.3">
      <c r="A61" s="15" t="s">
        <v>69</v>
      </c>
      <c r="B61" s="43">
        <v>45901</v>
      </c>
      <c r="C61" s="44">
        <v>2575.2399999999998</v>
      </c>
      <c r="D61" s="45">
        <v>49.47</v>
      </c>
      <c r="E61" s="15">
        <v>0</v>
      </c>
      <c r="F61" s="34">
        <f t="shared" si="3"/>
        <v>7.8536980126381195</v>
      </c>
      <c r="G61" s="34">
        <f t="shared" si="4"/>
        <v>3.9013664252396172</v>
      </c>
      <c r="H61" s="49" t="str">
        <f t="shared" si="5"/>
        <v>2025-Q3</v>
      </c>
    </row>
    <row r="62" spans="1:8" x14ac:dyDescent="0.3">
      <c r="A62" s="15" t="s">
        <v>69</v>
      </c>
      <c r="B62" s="43">
        <v>45931</v>
      </c>
      <c r="C62" s="44">
        <v>2361.4299999999998</v>
      </c>
      <c r="D62" s="45">
        <v>38.229999999999997</v>
      </c>
      <c r="E62" s="15">
        <v>0</v>
      </c>
      <c r="F62" s="34">
        <f t="shared" si="3"/>
        <v>7.7670226467202514</v>
      </c>
      <c r="G62" s="34">
        <f t="shared" si="4"/>
        <v>3.6436205477083212</v>
      </c>
      <c r="H62" s="49" t="str">
        <f t="shared" si="5"/>
        <v>2025-Q4</v>
      </c>
    </row>
    <row r="63" spans="1:8" x14ac:dyDescent="0.3">
      <c r="A63" s="15" t="s">
        <v>69</v>
      </c>
      <c r="B63" s="43">
        <v>45962</v>
      </c>
      <c r="C63" s="44">
        <v>4512.43</v>
      </c>
      <c r="D63" s="45">
        <v>52.1</v>
      </c>
      <c r="E63" s="15">
        <v>0</v>
      </c>
      <c r="F63" s="34">
        <f t="shared" si="3"/>
        <v>8.4145910900554437</v>
      </c>
      <c r="G63" s="34">
        <f t="shared" si="4"/>
        <v>3.9531649487593215</v>
      </c>
      <c r="H63" s="49" t="str">
        <f t="shared" si="5"/>
        <v>2025-Q4</v>
      </c>
    </row>
    <row r="64" spans="1:8" x14ac:dyDescent="0.3">
      <c r="A64" s="15" t="s">
        <v>69</v>
      </c>
      <c r="B64" s="43">
        <v>45992</v>
      </c>
      <c r="C64" s="44">
        <v>4443.58</v>
      </c>
      <c r="D64" s="45">
        <v>69.03</v>
      </c>
      <c r="E64" s="15">
        <v>0</v>
      </c>
      <c r="F64" s="34">
        <f t="shared" si="3"/>
        <v>8.3992156368422766</v>
      </c>
      <c r="G64" s="34">
        <f t="shared" si="4"/>
        <v>4.2345411927153842</v>
      </c>
      <c r="H64" s="49" t="str">
        <f t="shared" si="5"/>
        <v>2025-Q4</v>
      </c>
    </row>
    <row r="65" spans="1:8" x14ac:dyDescent="0.3">
      <c r="A65" s="15" t="s">
        <v>69</v>
      </c>
      <c r="B65" s="43">
        <v>46023</v>
      </c>
      <c r="C65" s="44">
        <v>2035.75</v>
      </c>
      <c r="D65" s="45">
        <v>52.9</v>
      </c>
      <c r="E65" s="15">
        <v>0</v>
      </c>
      <c r="F65" s="34">
        <f t="shared" si="3"/>
        <v>7.6186195803472403</v>
      </c>
      <c r="G65" s="34">
        <f t="shared" si="4"/>
        <v>3.9684033388642534</v>
      </c>
      <c r="H65" s="49" t="str">
        <f t="shared" si="5"/>
        <v>2026-Q1</v>
      </c>
    </row>
    <row r="66" spans="1:8" x14ac:dyDescent="0.3">
      <c r="A66" s="15" t="s">
        <v>69</v>
      </c>
      <c r="B66" s="43">
        <v>46054</v>
      </c>
      <c r="C66" s="44">
        <v>2328.58</v>
      </c>
      <c r="D66" s="45">
        <v>36.43</v>
      </c>
      <c r="E66" s="15">
        <v>0</v>
      </c>
      <c r="F66" s="34">
        <f t="shared" ref="F66:F97" si="6">LN(C66)</f>
        <v>7.7530139187143607</v>
      </c>
      <c r="G66" s="34">
        <f t="shared" ref="G66:G97" si="7">LN(D66)</f>
        <v>3.5953926110204724</v>
      </c>
      <c r="H66" s="49" t="str">
        <f t="shared" ref="H66:H97" si="8">YEAR(B66)&amp;"-Q"&amp;ROUNDUP(MONTH(B66)/3,0)</f>
        <v>2026-Q1</v>
      </c>
    </row>
    <row r="67" spans="1:8" x14ac:dyDescent="0.3">
      <c r="A67" s="15" t="s">
        <v>69</v>
      </c>
      <c r="B67" s="43">
        <v>46082</v>
      </c>
      <c r="C67" s="44">
        <v>2047.08</v>
      </c>
      <c r="D67" s="45">
        <v>37.6</v>
      </c>
      <c r="E67" s="15">
        <v>0</v>
      </c>
      <c r="F67" s="34">
        <f t="shared" si="6"/>
        <v>7.6241696664804284</v>
      </c>
      <c r="G67" s="34">
        <f t="shared" si="7"/>
        <v>3.6270040503958487</v>
      </c>
      <c r="H67" s="49" t="str">
        <f t="shared" si="8"/>
        <v>2026-Q1</v>
      </c>
    </row>
    <row r="68" spans="1:8" x14ac:dyDescent="0.3">
      <c r="A68" s="15" t="s">
        <v>69</v>
      </c>
      <c r="B68" s="43">
        <v>46113</v>
      </c>
      <c r="C68" s="44">
        <v>3020.39</v>
      </c>
      <c r="D68" s="45">
        <v>45.2</v>
      </c>
      <c r="E68" s="15">
        <v>0</v>
      </c>
      <c r="F68" s="34">
        <f t="shared" si="6"/>
        <v>8.0131412411040301</v>
      </c>
      <c r="G68" s="34">
        <f t="shared" si="7"/>
        <v>3.8110970868381857</v>
      </c>
      <c r="H68" s="49" t="str">
        <f t="shared" si="8"/>
        <v>2026-Q2</v>
      </c>
    </row>
    <row r="69" spans="1:8" x14ac:dyDescent="0.3">
      <c r="A69" s="15" t="s">
        <v>69</v>
      </c>
      <c r="B69" s="43">
        <v>46143</v>
      </c>
      <c r="C69" s="44">
        <v>2411.8200000000002</v>
      </c>
      <c r="D69" s="45">
        <v>42.5</v>
      </c>
      <c r="E69" s="15">
        <v>0</v>
      </c>
      <c r="F69" s="34">
        <f t="shared" si="6"/>
        <v>7.788136928196681</v>
      </c>
      <c r="G69" s="34">
        <f t="shared" si="7"/>
        <v>3.7495040759303713</v>
      </c>
      <c r="H69" s="49" t="str">
        <f t="shared" si="8"/>
        <v>2026-Q2</v>
      </c>
    </row>
    <row r="70" spans="1:8" x14ac:dyDescent="0.3">
      <c r="A70" s="15" t="s">
        <v>69</v>
      </c>
      <c r="B70" s="43">
        <v>46174</v>
      </c>
      <c r="C70" s="44">
        <v>5512.16</v>
      </c>
      <c r="D70" s="45">
        <v>32.729999999999997</v>
      </c>
      <c r="E70" s="15">
        <v>0</v>
      </c>
      <c r="F70" s="34">
        <f t="shared" si="6"/>
        <v>8.6147118398484004</v>
      </c>
      <c r="G70" s="34">
        <f t="shared" si="7"/>
        <v>3.4882920885130893</v>
      </c>
      <c r="H70" s="49" t="str">
        <f t="shared" si="8"/>
        <v>2026-Q2</v>
      </c>
    </row>
    <row r="71" spans="1:8" x14ac:dyDescent="0.3">
      <c r="A71" s="15" t="s">
        <v>69</v>
      </c>
      <c r="B71" s="43">
        <v>46204</v>
      </c>
      <c r="C71" s="44">
        <v>5883.21</v>
      </c>
      <c r="D71" s="45">
        <v>39.630000000000003</v>
      </c>
      <c r="E71" s="15">
        <v>1</v>
      </c>
      <c r="F71" s="34">
        <f t="shared" si="6"/>
        <v>8.6798578103007991</v>
      </c>
      <c r="G71" s="34">
        <f t="shared" si="7"/>
        <v>3.6795864072023439</v>
      </c>
      <c r="H71" s="49" t="str">
        <f t="shared" si="8"/>
        <v>2026-Q3</v>
      </c>
    </row>
    <row r="72" spans="1:8" x14ac:dyDescent="0.3">
      <c r="A72" s="15" t="s">
        <v>69</v>
      </c>
      <c r="B72" s="43">
        <v>46235</v>
      </c>
      <c r="C72" s="44">
        <v>5387.88</v>
      </c>
      <c r="D72" s="45">
        <v>26.83</v>
      </c>
      <c r="E72" s="15">
        <v>1</v>
      </c>
      <c r="F72" s="34">
        <f t="shared" si="6"/>
        <v>8.5919072655673148</v>
      </c>
      <c r="G72" s="34">
        <f t="shared" si="7"/>
        <v>3.2895206644375325</v>
      </c>
      <c r="H72" s="49" t="str">
        <f t="shared" si="8"/>
        <v>2026-Q3</v>
      </c>
    </row>
    <row r="73" spans="1:8" x14ac:dyDescent="0.3">
      <c r="A73" s="15" t="s">
        <v>69</v>
      </c>
      <c r="B73" s="43">
        <v>46266</v>
      </c>
      <c r="C73" s="44">
        <v>7758.99</v>
      </c>
      <c r="D73" s="45">
        <v>53.97</v>
      </c>
      <c r="E73" s="15">
        <v>1</v>
      </c>
      <c r="F73" s="34">
        <f t="shared" si="6"/>
        <v>8.9566074500672386</v>
      </c>
      <c r="G73" s="34">
        <f t="shared" si="7"/>
        <v>3.9884283366305513</v>
      </c>
      <c r="H73" s="49" t="str">
        <f t="shared" si="8"/>
        <v>2026-Q3</v>
      </c>
    </row>
    <row r="74" spans="1:8" x14ac:dyDescent="0.3">
      <c r="A74" s="15" t="s">
        <v>71</v>
      </c>
      <c r="B74" s="43">
        <v>45566</v>
      </c>
      <c r="C74" s="44">
        <v>348.43</v>
      </c>
      <c r="D74" s="45">
        <v>27</v>
      </c>
      <c r="E74" s="15">
        <v>0</v>
      </c>
      <c r="F74" s="34">
        <f t="shared" si="6"/>
        <v>5.8534373491932019</v>
      </c>
      <c r="G74" s="34">
        <f t="shared" si="7"/>
        <v>3.2958368660043291</v>
      </c>
      <c r="H74" s="49" t="str">
        <f t="shared" si="8"/>
        <v>2024-Q4</v>
      </c>
    </row>
    <row r="75" spans="1:8" x14ac:dyDescent="0.3">
      <c r="A75" s="15" t="s">
        <v>71</v>
      </c>
      <c r="B75" s="43">
        <v>45597</v>
      </c>
      <c r="C75" s="44">
        <v>506.87</v>
      </c>
      <c r="D75" s="45">
        <v>45.37</v>
      </c>
      <c r="E75" s="15">
        <v>0</v>
      </c>
      <c r="F75" s="34">
        <f t="shared" si="6"/>
        <v>6.2282545604560431</v>
      </c>
      <c r="G75" s="34">
        <f t="shared" si="7"/>
        <v>3.8148510936758724</v>
      </c>
      <c r="H75" s="49" t="str">
        <f t="shared" si="8"/>
        <v>2024-Q4</v>
      </c>
    </row>
    <row r="76" spans="1:8" x14ac:dyDescent="0.3">
      <c r="A76" s="15" t="s">
        <v>71</v>
      </c>
      <c r="B76" s="43">
        <v>45627</v>
      </c>
      <c r="C76" s="44">
        <v>485.23</v>
      </c>
      <c r="D76" s="45">
        <v>39.4</v>
      </c>
      <c r="E76" s="15">
        <v>0</v>
      </c>
      <c r="F76" s="34">
        <f t="shared" si="6"/>
        <v>6.1846230053316136</v>
      </c>
      <c r="G76" s="34">
        <f t="shared" si="7"/>
        <v>3.673765816303888</v>
      </c>
      <c r="H76" s="49" t="str">
        <f t="shared" si="8"/>
        <v>2024-Q4</v>
      </c>
    </row>
    <row r="77" spans="1:8" x14ac:dyDescent="0.3">
      <c r="A77" s="15" t="s">
        <v>71</v>
      </c>
      <c r="B77" s="43">
        <v>45658</v>
      </c>
      <c r="C77" s="44">
        <v>322.23</v>
      </c>
      <c r="D77" s="45">
        <v>36.200000000000003</v>
      </c>
      <c r="E77" s="15">
        <v>0</v>
      </c>
      <c r="F77" s="34">
        <f t="shared" si="6"/>
        <v>5.7752655762780654</v>
      </c>
      <c r="G77" s="34">
        <f t="shared" si="7"/>
        <v>3.5890591188317256</v>
      </c>
      <c r="H77" s="49" t="str">
        <f t="shared" si="8"/>
        <v>2025-Q1</v>
      </c>
    </row>
    <row r="78" spans="1:8" x14ac:dyDescent="0.3">
      <c r="A78" s="15" t="s">
        <v>71</v>
      </c>
      <c r="B78" s="43">
        <v>45689</v>
      </c>
      <c r="C78" s="44">
        <v>387.07</v>
      </c>
      <c r="D78" s="45">
        <v>44.8</v>
      </c>
      <c r="E78" s="15">
        <v>0</v>
      </c>
      <c r="F78" s="34">
        <f t="shared" si="6"/>
        <v>5.9586055552262005</v>
      </c>
      <c r="G78" s="34">
        <f t="shared" si="7"/>
        <v>3.8022081394209395</v>
      </c>
      <c r="H78" s="49" t="str">
        <f t="shared" si="8"/>
        <v>2025-Q1</v>
      </c>
    </row>
    <row r="79" spans="1:8" x14ac:dyDescent="0.3">
      <c r="A79" s="15" t="s">
        <v>71</v>
      </c>
      <c r="B79" s="43">
        <v>45717</v>
      </c>
      <c r="C79" s="44">
        <v>270.29000000000002</v>
      </c>
      <c r="D79" s="45">
        <v>35.5</v>
      </c>
      <c r="E79" s="15">
        <v>0</v>
      </c>
      <c r="F79" s="34">
        <f t="shared" si="6"/>
        <v>5.5994954566675883</v>
      </c>
      <c r="G79" s="34">
        <f t="shared" si="7"/>
        <v>3.5695326964813701</v>
      </c>
      <c r="H79" s="49" t="str">
        <f t="shared" si="8"/>
        <v>2025-Q1</v>
      </c>
    </row>
    <row r="80" spans="1:8" x14ac:dyDescent="0.3">
      <c r="A80" s="15" t="s">
        <v>71</v>
      </c>
      <c r="B80" s="43">
        <v>45748</v>
      </c>
      <c r="C80" s="44">
        <v>338.51</v>
      </c>
      <c r="D80" s="45">
        <v>31.3</v>
      </c>
      <c r="E80" s="15">
        <v>0</v>
      </c>
      <c r="F80" s="34">
        <f t="shared" si="6"/>
        <v>5.8245536340134594</v>
      </c>
      <c r="G80" s="34">
        <f t="shared" si="7"/>
        <v>3.4436180975461075</v>
      </c>
      <c r="H80" s="49" t="str">
        <f t="shared" si="8"/>
        <v>2025-Q2</v>
      </c>
    </row>
    <row r="81" spans="1:8" x14ac:dyDescent="0.3">
      <c r="A81" s="15" t="s">
        <v>71</v>
      </c>
      <c r="B81" s="43">
        <v>45778</v>
      </c>
      <c r="C81" s="44">
        <v>283.2</v>
      </c>
      <c r="D81" s="45">
        <v>33.97</v>
      </c>
      <c r="E81" s="15">
        <v>0</v>
      </c>
      <c r="F81" s="34">
        <f t="shared" si="6"/>
        <v>5.6461533618195645</v>
      </c>
      <c r="G81" s="34">
        <f t="shared" si="7"/>
        <v>3.5254777821724925</v>
      </c>
      <c r="H81" s="49" t="str">
        <f t="shared" si="8"/>
        <v>2025-Q2</v>
      </c>
    </row>
    <row r="82" spans="1:8" x14ac:dyDescent="0.3">
      <c r="A82" s="15" t="s">
        <v>71</v>
      </c>
      <c r="B82" s="43">
        <v>45809</v>
      </c>
      <c r="C82" s="44">
        <v>324.72000000000003</v>
      </c>
      <c r="D82" s="45">
        <v>33.200000000000003</v>
      </c>
      <c r="E82" s="15">
        <v>0</v>
      </c>
      <c r="F82" s="34">
        <f t="shared" si="6"/>
        <v>5.7829632725306421</v>
      </c>
      <c r="G82" s="34">
        <f t="shared" si="7"/>
        <v>3.5025498759224432</v>
      </c>
      <c r="H82" s="49" t="str">
        <f t="shared" si="8"/>
        <v>2025-Q2</v>
      </c>
    </row>
    <row r="83" spans="1:8" x14ac:dyDescent="0.3">
      <c r="A83" s="15" t="s">
        <v>71</v>
      </c>
      <c r="B83" s="43">
        <v>45839</v>
      </c>
      <c r="C83" s="44">
        <v>292.60000000000002</v>
      </c>
      <c r="D83" s="45">
        <v>36.5</v>
      </c>
      <c r="E83" s="15">
        <v>0</v>
      </c>
      <c r="F83" s="34">
        <f t="shared" si="6"/>
        <v>5.6788064885860239</v>
      </c>
      <c r="G83" s="34">
        <f t="shared" si="7"/>
        <v>3.597312260588446</v>
      </c>
      <c r="H83" s="49" t="str">
        <f t="shared" si="8"/>
        <v>2025-Q3</v>
      </c>
    </row>
    <row r="84" spans="1:8" x14ac:dyDescent="0.3">
      <c r="A84" s="15" t="s">
        <v>71</v>
      </c>
      <c r="B84" s="43">
        <v>45870</v>
      </c>
      <c r="C84" s="44">
        <v>354.79</v>
      </c>
      <c r="D84" s="45">
        <v>32.299999999999997</v>
      </c>
      <c r="E84" s="15">
        <v>0</v>
      </c>
      <c r="F84" s="34">
        <f t="shared" si="6"/>
        <v>5.8715260651453258</v>
      </c>
      <c r="G84" s="34">
        <f t="shared" si="7"/>
        <v>3.475067230228611</v>
      </c>
      <c r="H84" s="49" t="str">
        <f t="shared" si="8"/>
        <v>2025-Q3</v>
      </c>
    </row>
    <row r="85" spans="1:8" x14ac:dyDescent="0.3">
      <c r="A85" s="15" t="s">
        <v>71</v>
      </c>
      <c r="B85" s="43">
        <v>45901</v>
      </c>
      <c r="C85" s="44">
        <v>380.18</v>
      </c>
      <c r="D85" s="45">
        <v>36.07</v>
      </c>
      <c r="E85" s="15">
        <v>0</v>
      </c>
      <c r="F85" s="34">
        <f t="shared" si="6"/>
        <v>5.9406448247780075</v>
      </c>
      <c r="G85" s="34">
        <f t="shared" si="7"/>
        <v>3.5854614949154477</v>
      </c>
      <c r="H85" s="49" t="str">
        <f t="shared" si="8"/>
        <v>2025-Q3</v>
      </c>
    </row>
    <row r="86" spans="1:8" x14ac:dyDescent="0.3">
      <c r="A86" s="15" t="s">
        <v>71</v>
      </c>
      <c r="B86" s="43">
        <v>45931</v>
      </c>
      <c r="C86" s="44">
        <v>302.43</v>
      </c>
      <c r="D86" s="45">
        <v>33.299999999999997</v>
      </c>
      <c r="E86" s="15">
        <v>0</v>
      </c>
      <c r="F86" s="34">
        <f t="shared" si="6"/>
        <v>5.7118498457339602</v>
      </c>
      <c r="G86" s="34">
        <f t="shared" si="7"/>
        <v>3.505557396986398</v>
      </c>
      <c r="H86" s="49" t="str">
        <f t="shared" si="8"/>
        <v>2025-Q4</v>
      </c>
    </row>
    <row r="87" spans="1:8" x14ac:dyDescent="0.3">
      <c r="A87" s="15" t="s">
        <v>71</v>
      </c>
      <c r="B87" s="43">
        <v>45962</v>
      </c>
      <c r="C87" s="44">
        <v>408.93</v>
      </c>
      <c r="D87" s="45">
        <v>40.4</v>
      </c>
      <c r="E87" s="15">
        <v>0</v>
      </c>
      <c r="F87" s="34">
        <f t="shared" si="6"/>
        <v>6.0135439922508613</v>
      </c>
      <c r="G87" s="34">
        <f t="shared" si="7"/>
        <v>3.6988297849671046</v>
      </c>
      <c r="H87" s="49" t="str">
        <f t="shared" si="8"/>
        <v>2025-Q4</v>
      </c>
    </row>
    <row r="88" spans="1:8" x14ac:dyDescent="0.3">
      <c r="A88" s="15" t="s">
        <v>71</v>
      </c>
      <c r="B88" s="43">
        <v>45992</v>
      </c>
      <c r="C88" s="44">
        <v>484.36</v>
      </c>
      <c r="D88" s="45">
        <v>35.67</v>
      </c>
      <c r="E88" s="15">
        <v>0</v>
      </c>
      <c r="F88" s="34">
        <f t="shared" si="6"/>
        <v>6.1828284318861657</v>
      </c>
      <c r="G88" s="34">
        <f t="shared" si="7"/>
        <v>3.5743099993708003</v>
      </c>
      <c r="H88" s="49" t="str">
        <f t="shared" si="8"/>
        <v>2025-Q4</v>
      </c>
    </row>
    <row r="89" spans="1:8" x14ac:dyDescent="0.3">
      <c r="A89" s="15" t="s">
        <v>71</v>
      </c>
      <c r="B89" s="43">
        <v>46023</v>
      </c>
      <c r="C89" s="44">
        <v>347.71</v>
      </c>
      <c r="D89" s="45">
        <v>32.5</v>
      </c>
      <c r="E89" s="15">
        <v>0</v>
      </c>
      <c r="F89" s="34">
        <f t="shared" si="6"/>
        <v>5.8513687990258969</v>
      </c>
      <c r="G89" s="34">
        <f t="shared" si="7"/>
        <v>3.4812400893356918</v>
      </c>
      <c r="H89" s="49" t="str">
        <f t="shared" si="8"/>
        <v>2026-Q1</v>
      </c>
    </row>
    <row r="90" spans="1:8" x14ac:dyDescent="0.3">
      <c r="A90" s="15" t="s">
        <v>71</v>
      </c>
      <c r="B90" s="43">
        <v>46054</v>
      </c>
      <c r="C90" s="44">
        <v>327.17</v>
      </c>
      <c r="D90" s="45">
        <v>38.200000000000003</v>
      </c>
      <c r="E90" s="15">
        <v>0</v>
      </c>
      <c r="F90" s="34">
        <f t="shared" si="6"/>
        <v>5.7904799134835132</v>
      </c>
      <c r="G90" s="34">
        <f t="shared" si="7"/>
        <v>3.6428355156125294</v>
      </c>
      <c r="H90" s="49" t="str">
        <f t="shared" si="8"/>
        <v>2026-Q1</v>
      </c>
    </row>
    <row r="91" spans="1:8" x14ac:dyDescent="0.3">
      <c r="A91" s="15" t="s">
        <v>71</v>
      </c>
      <c r="B91" s="43">
        <v>46082</v>
      </c>
      <c r="C91" s="44">
        <v>313.18</v>
      </c>
      <c r="D91" s="45">
        <v>30</v>
      </c>
      <c r="E91" s="15">
        <v>0</v>
      </c>
      <c r="F91" s="34">
        <f t="shared" si="6"/>
        <v>5.746778105117297</v>
      </c>
      <c r="G91" s="34">
        <f t="shared" si="7"/>
        <v>3.4011973816621555</v>
      </c>
      <c r="H91" s="49" t="str">
        <f t="shared" si="8"/>
        <v>2026-Q1</v>
      </c>
    </row>
    <row r="92" spans="1:8" x14ac:dyDescent="0.3">
      <c r="A92" s="15" t="s">
        <v>71</v>
      </c>
      <c r="B92" s="43">
        <v>46113</v>
      </c>
      <c r="C92" s="44">
        <v>347.89</v>
      </c>
      <c r="D92" s="45">
        <v>28.6</v>
      </c>
      <c r="E92" s="15">
        <v>0</v>
      </c>
      <c r="F92" s="34">
        <f t="shared" si="6"/>
        <v>5.8518863378528598</v>
      </c>
      <c r="G92" s="34">
        <f t="shared" si="7"/>
        <v>3.3534067178258069</v>
      </c>
      <c r="H92" s="49" t="str">
        <f t="shared" si="8"/>
        <v>2026-Q2</v>
      </c>
    </row>
    <row r="93" spans="1:8" x14ac:dyDescent="0.3">
      <c r="A93" s="15" t="s">
        <v>71</v>
      </c>
      <c r="B93" s="43">
        <v>46143</v>
      </c>
      <c r="C93" s="44">
        <v>372.6</v>
      </c>
      <c r="D93" s="45">
        <v>43.57</v>
      </c>
      <c r="E93" s="15">
        <v>0</v>
      </c>
      <c r="F93" s="34">
        <f t="shared" si="6"/>
        <v>5.9205054581674883</v>
      </c>
      <c r="G93" s="34">
        <f t="shared" si="7"/>
        <v>3.7743688401293509</v>
      </c>
      <c r="H93" s="49" t="str">
        <f t="shared" si="8"/>
        <v>2026-Q2</v>
      </c>
    </row>
    <row r="94" spans="1:8" x14ac:dyDescent="0.3">
      <c r="A94" s="15" t="s">
        <v>71</v>
      </c>
      <c r="B94" s="43">
        <v>46174</v>
      </c>
      <c r="C94" s="44">
        <v>439.06</v>
      </c>
      <c r="D94" s="45">
        <v>39.5</v>
      </c>
      <c r="E94" s="15">
        <v>0</v>
      </c>
      <c r="F94" s="34">
        <f t="shared" si="6"/>
        <v>6.0846360779957767</v>
      </c>
      <c r="G94" s="34">
        <f t="shared" si="7"/>
        <v>3.6763006719070761</v>
      </c>
      <c r="H94" s="49" t="str">
        <f t="shared" si="8"/>
        <v>2026-Q2</v>
      </c>
    </row>
    <row r="95" spans="1:8" x14ac:dyDescent="0.3">
      <c r="A95" s="15" t="s">
        <v>71</v>
      </c>
      <c r="B95" s="43">
        <v>46204</v>
      </c>
      <c r="C95" s="44">
        <v>358.7</v>
      </c>
      <c r="D95" s="45">
        <v>39</v>
      </c>
      <c r="E95" s="15">
        <v>1</v>
      </c>
      <c r="F95" s="34">
        <f t="shared" si="6"/>
        <v>5.8824863845382369</v>
      </c>
      <c r="G95" s="34">
        <f t="shared" si="7"/>
        <v>3.6635616461296463</v>
      </c>
      <c r="H95" s="49" t="str">
        <f t="shared" si="8"/>
        <v>2026-Q3</v>
      </c>
    </row>
    <row r="96" spans="1:8" x14ac:dyDescent="0.3">
      <c r="A96" s="15" t="s">
        <v>71</v>
      </c>
      <c r="B96" s="43">
        <v>46235</v>
      </c>
      <c r="C96" s="44">
        <v>331.08</v>
      </c>
      <c r="D96" s="45">
        <v>30.77</v>
      </c>
      <c r="E96" s="15">
        <v>1</v>
      </c>
      <c r="F96" s="34">
        <f t="shared" si="6"/>
        <v>5.8023600380171949</v>
      </c>
      <c r="G96" s="34">
        <f t="shared" si="7"/>
        <v>3.4265401893339504</v>
      </c>
      <c r="H96" s="49" t="str">
        <f t="shared" si="8"/>
        <v>2026-Q3</v>
      </c>
    </row>
    <row r="97" spans="1:8" x14ac:dyDescent="0.3">
      <c r="A97" s="15" t="s">
        <v>71</v>
      </c>
      <c r="B97" s="43">
        <v>46266</v>
      </c>
      <c r="C97" s="44">
        <v>391.56</v>
      </c>
      <c r="D97" s="45">
        <v>39.369999999999997</v>
      </c>
      <c r="E97" s="15">
        <v>1</v>
      </c>
      <c r="F97" s="34">
        <f t="shared" si="6"/>
        <v>5.9701387603932297</v>
      </c>
      <c r="G97" s="34">
        <f t="shared" si="7"/>
        <v>3.6730041049556461</v>
      </c>
      <c r="H97" s="49" t="str">
        <f t="shared" si="8"/>
        <v>2026-Q3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1"/>
  <sheetViews>
    <sheetView workbookViewId="0">
      <pane ySplit="1" topLeftCell="A2" activePane="bottomLeft" state="frozen"/>
      <selection pane="bottomLeft"/>
    </sheetView>
  </sheetViews>
  <sheetFormatPr defaultRowHeight="14.4" x14ac:dyDescent="0.3"/>
  <cols>
    <col min="1" max="1" width="20" customWidth="1"/>
    <col min="2" max="2" width="10" customWidth="1"/>
    <col min="3" max="3" width="18" customWidth="1"/>
    <col min="4" max="5" width="16" customWidth="1"/>
  </cols>
  <sheetData>
    <row r="1" spans="1:7" ht="30" customHeight="1" x14ac:dyDescent="0.3">
      <c r="A1" s="5" t="s">
        <v>174</v>
      </c>
      <c r="B1" s="5" t="s">
        <v>198</v>
      </c>
      <c r="C1" s="5" t="s">
        <v>199</v>
      </c>
      <c r="D1" s="5" t="s">
        <v>200</v>
      </c>
      <c r="E1" s="5" t="s">
        <v>201</v>
      </c>
      <c r="G1" s="2" t="s">
        <v>204</v>
      </c>
    </row>
    <row r="2" spans="1:7" x14ac:dyDescent="0.3">
      <c r="A2" s="15" t="s">
        <v>62</v>
      </c>
      <c r="B2" s="15">
        <v>1</v>
      </c>
      <c r="C2" s="15">
        <v>799</v>
      </c>
      <c r="D2" s="44">
        <v>2.4089</v>
      </c>
      <c r="E2" s="44">
        <v>2.8089</v>
      </c>
    </row>
    <row r="3" spans="1:7" x14ac:dyDescent="0.3">
      <c r="A3" s="15" t="s">
        <v>62</v>
      </c>
      <c r="B3" s="15">
        <v>2</v>
      </c>
      <c r="C3" s="15">
        <v>774</v>
      </c>
      <c r="D3" s="44">
        <v>17.526299999999999</v>
      </c>
      <c r="E3" s="44">
        <v>18.495100000000001</v>
      </c>
    </row>
    <row r="4" spans="1:7" x14ac:dyDescent="0.3">
      <c r="A4" s="15" t="s">
        <v>62</v>
      </c>
      <c r="B4" s="15">
        <v>3</v>
      </c>
      <c r="C4" s="15">
        <v>738</v>
      </c>
      <c r="D4" s="44">
        <v>42.817</v>
      </c>
      <c r="E4" s="44">
        <v>46.164000000000001</v>
      </c>
    </row>
    <row r="5" spans="1:7" x14ac:dyDescent="0.3">
      <c r="A5" s="15" t="s">
        <v>62</v>
      </c>
      <c r="B5" s="15">
        <v>4</v>
      </c>
      <c r="C5" s="15">
        <v>696</v>
      </c>
      <c r="D5" s="44">
        <v>65.381200000000007</v>
      </c>
      <c r="E5" s="44">
        <v>72.963899999999981</v>
      </c>
    </row>
    <row r="6" spans="1:7" x14ac:dyDescent="0.3">
      <c r="A6" s="15" t="s">
        <v>62</v>
      </c>
      <c r="B6" s="15">
        <v>5</v>
      </c>
      <c r="C6" s="15">
        <v>664</v>
      </c>
      <c r="D6" s="44">
        <v>98.819299999999998</v>
      </c>
      <c r="E6" s="44">
        <v>111.8432</v>
      </c>
    </row>
    <row r="7" spans="1:7" x14ac:dyDescent="0.3">
      <c r="A7" s="15" t="s">
        <v>62</v>
      </c>
      <c r="B7" s="15">
        <v>6</v>
      </c>
      <c r="C7" s="15">
        <v>626</v>
      </c>
      <c r="D7" s="44">
        <v>131.40790000000001</v>
      </c>
      <c r="E7" s="44">
        <v>151.72470000000001</v>
      </c>
    </row>
    <row r="8" spans="1:7" x14ac:dyDescent="0.3">
      <c r="A8" s="15" t="s">
        <v>62</v>
      </c>
      <c r="B8" s="15">
        <v>7</v>
      </c>
      <c r="C8" s="15">
        <v>594</v>
      </c>
      <c r="D8" s="44">
        <v>165.16909999999999</v>
      </c>
      <c r="E8" s="44">
        <v>194.09800000000001</v>
      </c>
    </row>
    <row r="9" spans="1:7" x14ac:dyDescent="0.3">
      <c r="A9" s="15" t="s">
        <v>62</v>
      </c>
      <c r="B9" s="15">
        <v>8</v>
      </c>
      <c r="C9" s="15">
        <v>562</v>
      </c>
      <c r="D9" s="44">
        <v>189.4622</v>
      </c>
      <c r="E9" s="44">
        <v>227.38220000000001</v>
      </c>
    </row>
    <row r="10" spans="1:7" x14ac:dyDescent="0.3">
      <c r="A10" s="15" t="s">
        <v>62</v>
      </c>
      <c r="B10" s="15">
        <v>9</v>
      </c>
      <c r="C10" s="15">
        <v>518</v>
      </c>
      <c r="D10" s="44">
        <v>208.3741</v>
      </c>
      <c r="E10" s="44">
        <v>255.31120000000001</v>
      </c>
    </row>
    <row r="11" spans="1:7" x14ac:dyDescent="0.3">
      <c r="A11" s="15" t="s">
        <v>62</v>
      </c>
      <c r="B11" s="15">
        <v>10</v>
      </c>
      <c r="C11" s="15">
        <v>464</v>
      </c>
      <c r="D11" s="44">
        <v>225.60140000000001</v>
      </c>
      <c r="E11" s="44">
        <v>280.3417</v>
      </c>
    </row>
    <row r="12" spans="1:7" x14ac:dyDescent="0.3">
      <c r="A12" s="15" t="s">
        <v>62</v>
      </c>
      <c r="B12" s="15">
        <v>11</v>
      </c>
      <c r="C12" s="15">
        <v>419</v>
      </c>
      <c r="D12" s="44">
        <v>237.5729</v>
      </c>
      <c r="E12" s="44">
        <v>299.548</v>
      </c>
    </row>
    <row r="13" spans="1:7" x14ac:dyDescent="0.3">
      <c r="A13" s="15" t="s">
        <v>62</v>
      </c>
      <c r="B13" s="15">
        <v>12</v>
      </c>
      <c r="C13" s="15">
        <v>382</v>
      </c>
      <c r="D13" s="44">
        <v>251.54159999999999</v>
      </c>
      <c r="E13" s="44">
        <v>321.21429999999998</v>
      </c>
    </row>
    <row r="14" spans="1:7" x14ac:dyDescent="0.3">
      <c r="A14" s="15" t="s">
        <v>65</v>
      </c>
      <c r="B14" s="15">
        <v>1</v>
      </c>
      <c r="C14" s="15">
        <v>1338</v>
      </c>
      <c r="D14" s="44">
        <v>1.2565999999999999</v>
      </c>
      <c r="E14" s="44">
        <v>1.6566000000000001</v>
      </c>
    </row>
    <row r="15" spans="1:7" x14ac:dyDescent="0.3">
      <c r="A15" s="15" t="s">
        <v>65</v>
      </c>
      <c r="B15" s="15">
        <v>2</v>
      </c>
      <c r="C15" s="15">
        <v>1277</v>
      </c>
      <c r="D15" s="44">
        <v>13.925700000000001</v>
      </c>
      <c r="E15" s="44">
        <v>14.7982</v>
      </c>
    </row>
    <row r="16" spans="1:7" x14ac:dyDescent="0.3">
      <c r="A16" s="15" t="s">
        <v>65</v>
      </c>
      <c r="B16" s="15">
        <v>3</v>
      </c>
      <c r="C16" s="15">
        <v>1230</v>
      </c>
      <c r="D16" s="44">
        <v>30.171700000000001</v>
      </c>
      <c r="E16" s="44">
        <v>33.012500000000003</v>
      </c>
    </row>
    <row r="17" spans="1:5" x14ac:dyDescent="0.3">
      <c r="A17" s="15" t="s">
        <v>65</v>
      </c>
      <c r="B17" s="15">
        <v>4</v>
      </c>
      <c r="C17" s="15">
        <v>1164</v>
      </c>
      <c r="D17" s="44">
        <v>47.657800000000002</v>
      </c>
      <c r="E17" s="44">
        <v>53.886699999999998</v>
      </c>
    </row>
    <row r="18" spans="1:5" x14ac:dyDescent="0.3">
      <c r="A18" s="15" t="s">
        <v>65</v>
      </c>
      <c r="B18" s="15">
        <v>5</v>
      </c>
      <c r="C18" s="15">
        <v>1098</v>
      </c>
      <c r="D18" s="44">
        <v>67.618700000000004</v>
      </c>
      <c r="E18" s="44">
        <v>77.951599999999999</v>
      </c>
    </row>
    <row r="19" spans="1:5" x14ac:dyDescent="0.3">
      <c r="A19" s="15" t="s">
        <v>65</v>
      </c>
      <c r="B19" s="15">
        <v>6</v>
      </c>
      <c r="C19" s="15">
        <v>1042</v>
      </c>
      <c r="D19" s="44">
        <v>89.392099999999999</v>
      </c>
      <c r="E19" s="44">
        <v>104.97320000000001</v>
      </c>
    </row>
    <row r="20" spans="1:5" x14ac:dyDescent="0.3">
      <c r="A20" s="15" t="s">
        <v>65</v>
      </c>
      <c r="B20" s="15">
        <v>7</v>
      </c>
      <c r="C20" s="15">
        <v>973</v>
      </c>
      <c r="D20" s="44">
        <v>113.1514</v>
      </c>
      <c r="E20" s="44">
        <v>135.17320000000001</v>
      </c>
    </row>
    <row r="21" spans="1:5" x14ac:dyDescent="0.3">
      <c r="A21" s="15" t="s">
        <v>65</v>
      </c>
      <c r="B21" s="15">
        <v>8</v>
      </c>
      <c r="C21" s="15">
        <v>925</v>
      </c>
      <c r="D21" s="44">
        <v>128.3168</v>
      </c>
      <c r="E21" s="44">
        <v>156.81970000000001</v>
      </c>
    </row>
    <row r="22" spans="1:5" x14ac:dyDescent="0.3">
      <c r="A22" s="15" t="s">
        <v>65</v>
      </c>
      <c r="B22" s="15">
        <v>9</v>
      </c>
      <c r="C22" s="15">
        <v>852</v>
      </c>
      <c r="D22" s="44">
        <v>141.87129999999999</v>
      </c>
      <c r="E22" s="44">
        <v>176.55959999999999</v>
      </c>
    </row>
    <row r="23" spans="1:5" x14ac:dyDescent="0.3">
      <c r="A23" s="15" t="s">
        <v>65</v>
      </c>
      <c r="B23" s="15">
        <v>10</v>
      </c>
      <c r="C23" s="15">
        <v>774</v>
      </c>
      <c r="D23" s="44">
        <v>152.3493</v>
      </c>
      <c r="E23" s="44">
        <v>192.5498</v>
      </c>
    </row>
    <row r="24" spans="1:5" x14ac:dyDescent="0.3">
      <c r="A24" s="15" t="s">
        <v>65</v>
      </c>
      <c r="B24" s="15">
        <v>11</v>
      </c>
      <c r="C24" s="15">
        <v>706</v>
      </c>
      <c r="D24" s="44">
        <v>161.10730000000001</v>
      </c>
      <c r="E24" s="44">
        <v>206.39570000000001</v>
      </c>
    </row>
    <row r="25" spans="1:5" x14ac:dyDescent="0.3">
      <c r="A25" s="15" t="s">
        <v>65</v>
      </c>
      <c r="B25" s="15">
        <v>12</v>
      </c>
      <c r="C25" s="15">
        <v>650</v>
      </c>
      <c r="D25" s="44">
        <v>167.97</v>
      </c>
      <c r="E25" s="44">
        <v>217.02340000000001</v>
      </c>
    </row>
    <row r="26" spans="1:5" x14ac:dyDescent="0.3">
      <c r="A26" s="15" t="s">
        <v>67</v>
      </c>
      <c r="B26" s="15">
        <v>1</v>
      </c>
      <c r="C26" s="15">
        <v>1479</v>
      </c>
      <c r="D26" s="44">
        <v>2.528</v>
      </c>
      <c r="E26" s="44">
        <v>2.9279999999999999</v>
      </c>
    </row>
    <row r="27" spans="1:5" x14ac:dyDescent="0.3">
      <c r="A27" s="15" t="s">
        <v>67</v>
      </c>
      <c r="B27" s="15">
        <v>2</v>
      </c>
      <c r="C27" s="15">
        <v>1421</v>
      </c>
      <c r="D27" s="44">
        <v>13.914999999999999</v>
      </c>
      <c r="E27" s="44">
        <v>14.8588</v>
      </c>
    </row>
    <row r="28" spans="1:5" x14ac:dyDescent="0.3">
      <c r="A28" s="15" t="s">
        <v>67</v>
      </c>
      <c r="B28" s="15">
        <v>3</v>
      </c>
      <c r="C28" s="15">
        <v>1368</v>
      </c>
      <c r="D28" s="44">
        <v>29.570399999999999</v>
      </c>
      <c r="E28" s="44">
        <v>32.375999999999998</v>
      </c>
    </row>
    <row r="29" spans="1:5" x14ac:dyDescent="0.3">
      <c r="A29" s="15" t="s">
        <v>67</v>
      </c>
      <c r="B29" s="15">
        <v>4</v>
      </c>
      <c r="C29" s="15">
        <v>1306</v>
      </c>
      <c r="D29" s="44">
        <v>47.871200000000002</v>
      </c>
      <c r="E29" s="44">
        <v>53.939300000000003</v>
      </c>
    </row>
    <row r="30" spans="1:5" x14ac:dyDescent="0.3">
      <c r="A30" s="15" t="s">
        <v>67</v>
      </c>
      <c r="B30" s="15">
        <v>5</v>
      </c>
      <c r="C30" s="15">
        <v>1232</v>
      </c>
      <c r="D30" s="44">
        <v>69.491</v>
      </c>
      <c r="E30" s="44">
        <v>79.82729999999998</v>
      </c>
    </row>
    <row r="31" spans="1:5" x14ac:dyDescent="0.3">
      <c r="A31" s="15" t="s">
        <v>67</v>
      </c>
      <c r="B31" s="15">
        <v>6</v>
      </c>
      <c r="C31" s="15">
        <v>1159</v>
      </c>
      <c r="D31" s="44">
        <v>95.631799999999998</v>
      </c>
      <c r="E31" s="44">
        <v>111.3985</v>
      </c>
    </row>
    <row r="32" spans="1:5" x14ac:dyDescent="0.3">
      <c r="A32" s="15" t="s">
        <v>67</v>
      </c>
      <c r="B32" s="15">
        <v>7</v>
      </c>
      <c r="C32" s="15">
        <v>1092</v>
      </c>
      <c r="D32" s="44">
        <v>121.11369999999999</v>
      </c>
      <c r="E32" s="44">
        <v>143.38550000000001</v>
      </c>
    </row>
    <row r="33" spans="1:5" x14ac:dyDescent="0.3">
      <c r="A33" s="15" t="s">
        <v>67</v>
      </c>
      <c r="B33" s="15">
        <v>8</v>
      </c>
      <c r="C33" s="15">
        <v>1016</v>
      </c>
      <c r="D33" s="44">
        <v>135.18690000000001</v>
      </c>
      <c r="E33" s="44">
        <v>164.09899999999999</v>
      </c>
    </row>
    <row r="34" spans="1:5" x14ac:dyDescent="0.3">
      <c r="A34" s="15" t="s">
        <v>67</v>
      </c>
      <c r="B34" s="15">
        <v>9</v>
      </c>
      <c r="C34" s="15">
        <v>943</v>
      </c>
      <c r="D34" s="44">
        <v>148.411</v>
      </c>
      <c r="E34" s="44">
        <v>183.48429999999999</v>
      </c>
    </row>
    <row r="35" spans="1:5" x14ac:dyDescent="0.3">
      <c r="A35" s="15" t="s">
        <v>67</v>
      </c>
      <c r="B35" s="15">
        <v>10</v>
      </c>
      <c r="C35" s="15">
        <v>859</v>
      </c>
      <c r="D35" s="44">
        <v>160.22219999999999</v>
      </c>
      <c r="E35" s="44">
        <v>200.74350000000001</v>
      </c>
    </row>
    <row r="36" spans="1:5" x14ac:dyDescent="0.3">
      <c r="A36" s="15" t="s">
        <v>67</v>
      </c>
      <c r="B36" s="15">
        <v>11</v>
      </c>
      <c r="C36" s="15">
        <v>771</v>
      </c>
      <c r="D36" s="44">
        <v>169.1412</v>
      </c>
      <c r="E36" s="44">
        <v>214.93950000000001</v>
      </c>
    </row>
    <row r="37" spans="1:5" x14ac:dyDescent="0.3">
      <c r="A37" s="15" t="s">
        <v>67</v>
      </c>
      <c r="B37" s="15">
        <v>12</v>
      </c>
      <c r="C37" s="15">
        <v>719</v>
      </c>
      <c r="D37" s="44">
        <v>185.3614</v>
      </c>
      <c r="E37" s="44">
        <v>237.30549999999999</v>
      </c>
    </row>
    <row r="38" spans="1:5" x14ac:dyDescent="0.3">
      <c r="A38" s="15" t="s">
        <v>69</v>
      </c>
      <c r="B38" s="15">
        <v>1</v>
      </c>
      <c r="C38" s="15">
        <v>1160</v>
      </c>
      <c r="D38" s="44">
        <v>1.4054</v>
      </c>
      <c r="E38" s="44">
        <v>1.8053999999999999</v>
      </c>
    </row>
    <row r="39" spans="1:5" x14ac:dyDescent="0.3">
      <c r="A39" s="15" t="s">
        <v>69</v>
      </c>
      <c r="B39" s="15">
        <v>2</v>
      </c>
      <c r="C39" s="15">
        <v>1122</v>
      </c>
      <c r="D39" s="44">
        <v>11.942299999999999</v>
      </c>
      <c r="E39" s="44">
        <v>12.770099999999999</v>
      </c>
    </row>
    <row r="40" spans="1:5" x14ac:dyDescent="0.3">
      <c r="A40" s="15" t="s">
        <v>69</v>
      </c>
      <c r="B40" s="15">
        <v>3</v>
      </c>
      <c r="C40" s="15">
        <v>1074</v>
      </c>
      <c r="D40" s="44">
        <v>27.527799999999999</v>
      </c>
      <c r="E40" s="44">
        <v>30.002400000000002</v>
      </c>
    </row>
    <row r="41" spans="1:5" x14ac:dyDescent="0.3">
      <c r="A41" s="15" t="s">
        <v>69</v>
      </c>
      <c r="B41" s="15">
        <v>4</v>
      </c>
      <c r="C41" s="15">
        <v>1030</v>
      </c>
      <c r="D41" s="44">
        <v>43.982999999999997</v>
      </c>
      <c r="E41" s="44">
        <v>49.180100000000003</v>
      </c>
    </row>
    <row r="42" spans="1:5" x14ac:dyDescent="0.3">
      <c r="A42" s="15" t="s">
        <v>69</v>
      </c>
      <c r="B42" s="15">
        <v>5</v>
      </c>
      <c r="C42" s="15">
        <v>981</v>
      </c>
      <c r="D42" s="44">
        <v>62.242699999999999</v>
      </c>
      <c r="E42" s="44">
        <v>70.919899999999998</v>
      </c>
    </row>
    <row r="43" spans="1:5" x14ac:dyDescent="0.3">
      <c r="A43" s="15" t="s">
        <v>69</v>
      </c>
      <c r="B43" s="15">
        <v>6</v>
      </c>
      <c r="C43" s="15">
        <v>924</v>
      </c>
      <c r="D43" s="44">
        <v>83.584299999999999</v>
      </c>
      <c r="E43" s="44">
        <v>96.715199999999996</v>
      </c>
    </row>
    <row r="44" spans="1:5" x14ac:dyDescent="0.3">
      <c r="A44" s="15" t="s">
        <v>69</v>
      </c>
      <c r="B44" s="15">
        <v>7</v>
      </c>
      <c r="C44" s="15">
        <v>884</v>
      </c>
      <c r="D44" s="44">
        <v>106.1914</v>
      </c>
      <c r="E44" s="44">
        <v>124.8939</v>
      </c>
    </row>
    <row r="45" spans="1:5" x14ac:dyDescent="0.3">
      <c r="A45" s="15" t="s">
        <v>69</v>
      </c>
      <c r="B45" s="15">
        <v>8</v>
      </c>
      <c r="C45" s="15">
        <v>820</v>
      </c>
      <c r="D45" s="44">
        <v>124.4682</v>
      </c>
      <c r="E45" s="44">
        <v>149.6268</v>
      </c>
    </row>
    <row r="46" spans="1:5" x14ac:dyDescent="0.3">
      <c r="A46" s="15" t="s">
        <v>69</v>
      </c>
      <c r="B46" s="15">
        <v>9</v>
      </c>
      <c r="C46" s="15">
        <v>762</v>
      </c>
      <c r="D46" s="44">
        <v>140.70429999999999</v>
      </c>
      <c r="E46" s="44">
        <v>171.92599999999999</v>
      </c>
    </row>
    <row r="47" spans="1:5" x14ac:dyDescent="0.3">
      <c r="A47" s="15" t="s">
        <v>69</v>
      </c>
      <c r="B47" s="15">
        <v>10</v>
      </c>
      <c r="C47" s="15">
        <v>680</v>
      </c>
      <c r="D47" s="44">
        <v>154.11619999999999</v>
      </c>
      <c r="E47" s="44">
        <v>190.46190000000001</v>
      </c>
    </row>
    <row r="48" spans="1:5" x14ac:dyDescent="0.3">
      <c r="A48" s="15" t="s">
        <v>69</v>
      </c>
      <c r="B48" s="15">
        <v>11</v>
      </c>
      <c r="C48" s="15">
        <v>611</v>
      </c>
      <c r="D48" s="44">
        <v>158.99160000000001</v>
      </c>
      <c r="E48" s="44">
        <v>199.15129999999999</v>
      </c>
    </row>
    <row r="49" spans="1:5" x14ac:dyDescent="0.3">
      <c r="A49" s="15" t="s">
        <v>69</v>
      </c>
      <c r="B49" s="15">
        <v>12</v>
      </c>
      <c r="C49" s="15">
        <v>562</v>
      </c>
      <c r="D49" s="44">
        <v>171.27959999999999</v>
      </c>
      <c r="E49" s="44">
        <v>216.31659999999999</v>
      </c>
    </row>
    <row r="50" spans="1:5" x14ac:dyDescent="0.3">
      <c r="A50" s="15" t="s">
        <v>71</v>
      </c>
      <c r="B50" s="15">
        <v>1</v>
      </c>
      <c r="C50" s="15">
        <v>871</v>
      </c>
      <c r="D50" s="44">
        <v>0.98760000000000003</v>
      </c>
      <c r="E50" s="44">
        <v>1.3875999999999999</v>
      </c>
    </row>
    <row r="51" spans="1:5" x14ac:dyDescent="0.3">
      <c r="A51" s="15" t="s">
        <v>71</v>
      </c>
      <c r="B51" s="15">
        <v>2</v>
      </c>
      <c r="C51" s="15">
        <v>838</v>
      </c>
      <c r="D51" s="44">
        <v>14.2468</v>
      </c>
      <c r="E51" s="44">
        <v>15.081799999999999</v>
      </c>
    </row>
    <row r="52" spans="1:5" x14ac:dyDescent="0.3">
      <c r="A52" s="15" t="s">
        <v>71</v>
      </c>
      <c r="B52" s="15">
        <v>3</v>
      </c>
      <c r="C52" s="15">
        <v>798</v>
      </c>
      <c r="D52" s="44">
        <v>29.124400000000001</v>
      </c>
      <c r="E52" s="44">
        <v>31.849799999999998</v>
      </c>
    </row>
    <row r="53" spans="1:5" x14ac:dyDescent="0.3">
      <c r="A53" s="15" t="s">
        <v>71</v>
      </c>
      <c r="B53" s="15">
        <v>4</v>
      </c>
      <c r="C53" s="15">
        <v>755</v>
      </c>
      <c r="D53" s="44">
        <v>45.637999999999998</v>
      </c>
      <c r="E53" s="44">
        <v>51.438299999999998</v>
      </c>
    </row>
    <row r="54" spans="1:5" x14ac:dyDescent="0.3">
      <c r="A54" s="15" t="s">
        <v>71</v>
      </c>
      <c r="B54" s="15">
        <v>5</v>
      </c>
      <c r="C54" s="15">
        <v>715</v>
      </c>
      <c r="D54" s="44">
        <v>60.3247</v>
      </c>
      <c r="E54" s="44">
        <v>70.253200000000007</v>
      </c>
    </row>
    <row r="55" spans="1:5" x14ac:dyDescent="0.3">
      <c r="A55" s="15" t="s">
        <v>71</v>
      </c>
      <c r="B55" s="15">
        <v>6</v>
      </c>
      <c r="C55" s="15">
        <v>684</v>
      </c>
      <c r="D55" s="44">
        <v>82.409199999999998</v>
      </c>
      <c r="E55" s="44">
        <v>97.538200000000003</v>
      </c>
    </row>
    <row r="56" spans="1:5" x14ac:dyDescent="0.3">
      <c r="A56" s="15" t="s">
        <v>71</v>
      </c>
      <c r="B56" s="15">
        <v>7</v>
      </c>
      <c r="C56" s="15">
        <v>648</v>
      </c>
      <c r="D56" s="44">
        <v>104.3729</v>
      </c>
      <c r="E56" s="44">
        <v>125.17829999999999</v>
      </c>
    </row>
    <row r="57" spans="1:5" x14ac:dyDescent="0.3">
      <c r="A57" s="15" t="s">
        <v>71</v>
      </c>
      <c r="B57" s="15">
        <v>8</v>
      </c>
      <c r="C57" s="15">
        <v>611</v>
      </c>
      <c r="D57" s="44">
        <v>119.5962</v>
      </c>
      <c r="E57" s="44">
        <v>147.5873</v>
      </c>
    </row>
    <row r="58" spans="1:5" x14ac:dyDescent="0.3">
      <c r="A58" s="15" t="s">
        <v>71</v>
      </c>
      <c r="B58" s="15">
        <v>9</v>
      </c>
      <c r="C58" s="15">
        <v>579</v>
      </c>
      <c r="D58" s="44">
        <v>134.7122</v>
      </c>
      <c r="E58" s="44">
        <v>169.8844</v>
      </c>
    </row>
    <row r="59" spans="1:5" x14ac:dyDescent="0.3">
      <c r="A59" s="15" t="s">
        <v>71</v>
      </c>
      <c r="B59" s="15">
        <v>10</v>
      </c>
      <c r="C59" s="15">
        <v>540</v>
      </c>
      <c r="D59" s="44">
        <v>148.08609999999999</v>
      </c>
      <c r="E59" s="44">
        <v>189.6046</v>
      </c>
    </row>
    <row r="60" spans="1:5" x14ac:dyDescent="0.3">
      <c r="A60" s="15" t="s">
        <v>71</v>
      </c>
      <c r="B60" s="15">
        <v>11</v>
      </c>
      <c r="C60" s="15">
        <v>499</v>
      </c>
      <c r="D60" s="44">
        <v>159.2861</v>
      </c>
      <c r="E60" s="44">
        <v>206.61869999999999</v>
      </c>
    </row>
    <row r="61" spans="1:5" x14ac:dyDescent="0.3">
      <c r="A61" s="15" t="s">
        <v>71</v>
      </c>
      <c r="B61" s="15">
        <v>12</v>
      </c>
      <c r="C61" s="15">
        <v>467</v>
      </c>
      <c r="D61" s="44">
        <v>165.35929999999999</v>
      </c>
      <c r="E61" s="44">
        <v>217.06379999999999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Assumptions</vt:lpstr>
      <vt:lpstr>Unit_Economics</vt:lpstr>
      <vt:lpstr>Curves</vt:lpstr>
      <vt:lpstr>Optimizer</vt:lpstr>
      <vt:lpstr>Scenarios</vt:lpstr>
      <vt:lpstr>Pivot_Tables</vt:lpstr>
      <vt:lpstr>Notes</vt:lpstr>
      <vt:lpstr>Data_Scorecard</vt:lpstr>
      <vt:lpstr>Data_Monthly</vt:lpstr>
      <vt:lpstr>Data_Curve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ΙΩΑΝΝΗΣ ΨΩΜΑΣ</cp:lastModifiedBy>
  <dcterms:created xsi:type="dcterms:W3CDTF">2026-10-22T08:52:24Z</dcterms:created>
  <dcterms:modified xsi:type="dcterms:W3CDTF">2026-10-25T10:23:41Z</dcterms:modified>
</cp:coreProperties>
</file>